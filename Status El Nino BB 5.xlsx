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esktop\Bases Excel\"/>
    </mc:Choice>
  </mc:AlternateContent>
  <xr:revisionPtr revIDLastSave="0" documentId="13_ncr:1_{335BFA04-A4E5-4BE7-80F0-0CC6384AFD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Hoja1!$A$1:$AE$409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4" i="1" l="1"/>
  <c r="U283" i="1"/>
  <c r="U282" i="1"/>
  <c r="U409" i="1"/>
  <c r="U285" i="1"/>
  <c r="N346" i="1"/>
  <c r="N57" i="1"/>
  <c r="N339" i="1"/>
  <c r="N250" i="1"/>
  <c r="N53" i="1"/>
  <c r="N408" i="1"/>
  <c r="N359" i="1"/>
  <c r="N358" i="1"/>
  <c r="N179" i="1"/>
  <c r="N379" i="1"/>
  <c r="N161" i="1"/>
  <c r="N378" i="1"/>
  <c r="N143" i="1"/>
  <c r="N129" i="1"/>
  <c r="N55" i="1"/>
  <c r="N49" i="1"/>
  <c r="N345" i="1"/>
  <c r="N138" i="1"/>
  <c r="N233" i="1"/>
  <c r="N337" i="1"/>
  <c r="N12" i="1"/>
  <c r="N120" i="1"/>
  <c r="N342" i="1"/>
  <c r="N98" i="1"/>
  <c r="N382" i="1"/>
  <c r="N3" i="1"/>
  <c r="N377" i="1"/>
  <c r="N92" i="1"/>
  <c r="N368" i="1"/>
  <c r="N376" i="1"/>
  <c r="N243" i="1"/>
  <c r="N307" i="1"/>
  <c r="N20" i="1"/>
  <c r="N406" i="1"/>
  <c r="N67" i="1"/>
  <c r="N393" i="1"/>
  <c r="N66" i="1"/>
  <c r="N392" i="1"/>
  <c r="N140" i="1"/>
  <c r="N397" i="1"/>
  <c r="N16" i="1"/>
  <c r="N10" i="1"/>
  <c r="N394" i="1"/>
  <c r="N25" i="1"/>
  <c r="N388" i="1"/>
  <c r="N287" i="1"/>
  <c r="N384" i="1"/>
  <c r="N299" i="1"/>
  <c r="N381" i="1"/>
  <c r="N302" i="1"/>
  <c r="N389" i="1"/>
  <c r="N184" i="1"/>
  <c r="N83" i="1"/>
  <c r="N341" i="1"/>
  <c r="N136" i="1"/>
  <c r="N288" i="1"/>
  <c r="N375" i="1"/>
  <c r="N50" i="1"/>
  <c r="N374" i="1"/>
  <c r="N391" i="1"/>
  <c r="N176" i="1"/>
  <c r="N372" i="1"/>
  <c r="N115" i="1"/>
  <c r="N402" i="1"/>
  <c r="N208" i="1"/>
  <c r="N336" i="1"/>
  <c r="N8" i="1"/>
  <c r="N286" i="1"/>
  <c r="N373" i="1"/>
  <c r="N119" i="1"/>
  <c r="N338" i="1"/>
  <c r="N256" i="1"/>
  <c r="N56" i="1"/>
  <c r="N403" i="1"/>
  <c r="N22" i="1"/>
  <c r="N335" i="1"/>
  <c r="N11" i="1"/>
  <c r="N37" i="1"/>
  <c r="N366" i="1"/>
  <c r="N357" i="1"/>
  <c r="N127" i="1"/>
  <c r="N292" i="1"/>
  <c r="N330" i="1"/>
  <c r="N29" i="1"/>
  <c r="N334" i="1"/>
  <c r="N249" i="1"/>
  <c r="N238" i="1"/>
  <c r="N371" i="1"/>
  <c r="N296" i="1"/>
  <c r="N333" i="1"/>
  <c r="N81" i="1"/>
  <c r="N370" i="1"/>
  <c r="N183" i="1"/>
  <c r="N141" i="1"/>
  <c r="N332" i="1"/>
  <c r="N137" i="1"/>
  <c r="N23" i="1"/>
  <c r="N312" i="1"/>
  <c r="N331" i="1"/>
  <c r="N109" i="1"/>
  <c r="N107" i="1"/>
  <c r="N349" i="1"/>
  <c r="N217" i="1"/>
  <c r="N297" i="1"/>
  <c r="N352" i="1"/>
  <c r="N194" i="1"/>
  <c r="N355" i="1"/>
  <c r="N353" i="1"/>
  <c r="N405" i="1"/>
  <c r="N354" i="1"/>
  <c r="N328" i="1"/>
  <c r="N168" i="1"/>
  <c r="N387" i="1"/>
  <c r="N291" i="1"/>
  <c r="N329" i="1"/>
  <c r="N314" i="1"/>
  <c r="N326" i="1"/>
  <c r="N144" i="1"/>
  <c r="N289" i="1"/>
  <c r="N325" i="1"/>
  <c r="N132" i="1"/>
  <c r="N269" i="1"/>
  <c r="N324" i="1"/>
  <c r="N34" i="1"/>
  <c r="N369" i="1"/>
  <c r="N64" i="1"/>
  <c r="N356" i="1"/>
  <c r="N167" i="1"/>
  <c r="N365" i="1"/>
  <c r="N103" i="1"/>
  <c r="N367" i="1"/>
  <c r="N91" i="1"/>
  <c r="N344" i="1"/>
  <c r="N313" i="1"/>
  <c r="N323" i="1"/>
  <c r="N126" i="1"/>
  <c r="N157" i="1"/>
  <c r="N322" i="1"/>
  <c r="N178" i="1"/>
  <c r="N321" i="1"/>
  <c r="N142" i="1"/>
  <c r="N6" i="1"/>
  <c r="N364" i="1"/>
  <c r="N108" i="1"/>
  <c r="N401" i="1"/>
  <c r="N385" i="1"/>
  <c r="N2" i="1"/>
  <c r="N396" i="1"/>
  <c r="N181" i="1"/>
  <c r="N386" i="1"/>
  <c r="N251" i="1"/>
  <c r="N363" i="1"/>
  <c r="N122" i="1"/>
  <c r="N362" i="1"/>
  <c r="N236" i="1"/>
  <c r="N235" i="1"/>
  <c r="N60" i="1"/>
  <c r="N59" i="1"/>
  <c r="N197" i="1"/>
  <c r="N189" i="1"/>
  <c r="N320" i="1"/>
  <c r="N63" i="1"/>
  <c r="N308" i="1"/>
  <c r="N343" i="1"/>
  <c r="N111" i="1"/>
  <c r="N395" i="1"/>
  <c r="N114" i="1"/>
  <c r="N407" i="1"/>
  <c r="N279" i="1"/>
  <c r="N319" i="1"/>
  <c r="N173" i="1"/>
  <c r="N318" i="1"/>
  <c r="N300" i="1"/>
  <c r="N383" i="1"/>
  <c r="N43" i="1"/>
  <c r="N207" i="1"/>
  <c r="N188" i="1"/>
  <c r="N5" i="1"/>
  <c r="N281" i="1"/>
  <c r="N192" i="1"/>
  <c r="N254" i="1"/>
  <c r="N257" i="1"/>
  <c r="N258" i="1"/>
  <c r="N272" i="1"/>
  <c r="N270" i="1"/>
  <c r="N266" i="1"/>
  <c r="N261" i="1"/>
  <c r="N62" i="1"/>
  <c r="N75" i="1"/>
  <c r="N311" i="1"/>
  <c r="N18" i="1"/>
  <c r="N255" i="1"/>
  <c r="N149" i="1"/>
  <c r="N78" i="1"/>
  <c r="N35" i="1"/>
  <c r="N97" i="1"/>
  <c r="N158" i="1"/>
  <c r="N271" i="1"/>
  <c r="N45" i="1"/>
  <c r="N26" i="1"/>
  <c r="N28" i="1"/>
  <c r="N239" i="1"/>
  <c r="N166" i="1"/>
  <c r="N44" i="1"/>
  <c r="N133" i="1"/>
  <c r="N70" i="1"/>
  <c r="N88" i="1"/>
  <c r="N146" i="1"/>
  <c r="N110" i="1"/>
  <c r="N46" i="1"/>
  <c r="N206" i="1"/>
  <c r="N69" i="1"/>
  <c r="N13" i="1"/>
  <c r="N24" i="1"/>
  <c r="N117" i="1"/>
  <c r="N260" i="1"/>
  <c r="N273" i="1"/>
  <c r="N113" i="1"/>
  <c r="N74" i="1"/>
  <c r="N228" i="1"/>
  <c r="N246" i="1"/>
  <c r="N33" i="1"/>
  <c r="N65" i="1"/>
  <c r="N247" i="1"/>
  <c r="N39" i="1"/>
  <c r="N99" i="1"/>
  <c r="N134" i="1"/>
  <c r="N234" i="1"/>
  <c r="N162" i="1"/>
  <c r="N309" i="1"/>
  <c r="N196" i="1"/>
  <c r="N100" i="1"/>
  <c r="N84" i="1"/>
  <c r="N79" i="1"/>
  <c r="N85" i="1"/>
  <c r="N128" i="1"/>
  <c r="N101" i="1"/>
  <c r="N104" i="1"/>
  <c r="N227" i="1"/>
  <c r="N259" i="1"/>
  <c r="N245" i="1"/>
  <c r="N204" i="1"/>
  <c r="N303" i="1"/>
  <c r="N95" i="1"/>
  <c r="N211" i="1"/>
  <c r="N54" i="1"/>
  <c r="N225" i="1"/>
  <c r="N51" i="1"/>
  <c r="N177" i="1"/>
  <c r="N160" i="1"/>
  <c r="N82" i="1"/>
  <c r="N298" i="1"/>
  <c r="N253" i="1"/>
  <c r="N304" i="1"/>
  <c r="N174" i="1"/>
  <c r="N87" i="1"/>
  <c r="N212" i="1"/>
  <c r="N172" i="1"/>
  <c r="N17" i="1"/>
  <c r="N222" i="1"/>
  <c r="N139" i="1"/>
  <c r="N116" i="1"/>
  <c r="N306" i="1"/>
  <c r="N106" i="1"/>
  <c r="N276" i="1"/>
  <c r="N80" i="1"/>
  <c r="N105" i="1"/>
  <c r="N248" i="1"/>
  <c r="N237" i="1"/>
  <c r="N278" i="1"/>
  <c r="N198" i="1"/>
  <c r="N231" i="1"/>
  <c r="N147" i="1"/>
  <c r="N193" i="1"/>
  <c r="N148" i="1"/>
  <c r="N131" i="1"/>
  <c r="N38" i="1"/>
  <c r="N186" i="1"/>
  <c r="N170" i="1"/>
  <c r="N165" i="1"/>
  <c r="N232" i="1"/>
  <c r="N252" i="1"/>
  <c r="N268" i="1"/>
  <c r="N267" i="1"/>
  <c r="N215" i="1"/>
  <c r="N90" i="1"/>
  <c r="N264" i="1"/>
  <c r="N61" i="1"/>
  <c r="N96" i="1"/>
  <c r="N221" i="1"/>
  <c r="N164" i="1"/>
  <c r="N169" i="1"/>
  <c r="N218" i="1"/>
  <c r="N52" i="1"/>
  <c r="N210" i="1"/>
  <c r="N171" i="1"/>
  <c r="N163" i="1"/>
  <c r="N7" i="1"/>
  <c r="N145" i="1"/>
  <c r="N15" i="1"/>
  <c r="N263" i="1"/>
  <c r="N214" i="1"/>
  <c r="N32" i="1"/>
  <c r="N48" i="1"/>
  <c r="N262" i="1"/>
  <c r="N310" i="1"/>
  <c r="N135" i="1"/>
  <c r="N118" i="1"/>
  <c r="N219" i="1"/>
  <c r="N201" i="1"/>
  <c r="N121" i="1"/>
  <c r="N76" i="1"/>
  <c r="N125" i="1"/>
  <c r="N274" i="1"/>
  <c r="N202" i="1"/>
  <c r="N130" i="1"/>
  <c r="N209" i="1"/>
  <c r="N42" i="1"/>
  <c r="N123" i="1"/>
  <c r="N216" i="1"/>
  <c r="N36" i="1"/>
  <c r="N180" i="1"/>
  <c r="N71" i="1"/>
  <c r="N68" i="1"/>
  <c r="N205" i="1"/>
  <c r="N150" i="1"/>
  <c r="N58" i="1"/>
  <c r="N31" i="1"/>
  <c r="N19" i="1"/>
  <c r="N14" i="1"/>
  <c r="N199" i="1"/>
  <c r="N21" i="1"/>
  <c r="N112" i="1"/>
  <c r="N242" i="1"/>
  <c r="N275" i="1"/>
  <c r="N230" i="1"/>
  <c r="N265" i="1"/>
  <c r="N191" i="1"/>
  <c r="N182" i="1"/>
  <c r="N223" i="1"/>
  <c r="N280" i="1"/>
  <c r="N93" i="1"/>
  <c r="N195" i="1"/>
  <c r="N185" i="1"/>
  <c r="N73" i="1"/>
  <c r="N244" i="1"/>
  <c r="N203" i="1"/>
  <c r="N226" i="1"/>
  <c r="N241" i="1"/>
  <c r="N102" i="1"/>
  <c r="N77" i="1"/>
  <c r="N200" i="1"/>
  <c r="N305" i="1"/>
  <c r="N94" i="1"/>
  <c r="N89" i="1"/>
  <c r="N295" i="1"/>
  <c r="N4" i="1"/>
  <c r="N293" i="1"/>
  <c r="N294" i="1"/>
  <c r="N224" i="1"/>
  <c r="N47" i="1"/>
  <c r="N301" i="1"/>
  <c r="N229" i="1"/>
  <c r="N72" i="1"/>
  <c r="N187" i="1"/>
  <c r="N9" i="1"/>
  <c r="N151" i="1"/>
  <c r="N153" i="1"/>
  <c r="N152" i="1"/>
  <c r="N154" i="1"/>
  <c r="N155" i="1"/>
  <c r="N277" i="1"/>
  <c r="N190" i="1"/>
  <c r="N30" i="1"/>
  <c r="N348" i="1"/>
  <c r="N340" i="1"/>
  <c r="N351" i="1"/>
  <c r="N350" i="1"/>
  <c r="N175" i="1"/>
  <c r="N380" i="1"/>
  <c r="N159" i="1"/>
  <c r="N398" i="1"/>
  <c r="N404" i="1"/>
  <c r="N347" i="1"/>
  <c r="N399" i="1"/>
  <c r="N400" i="1"/>
  <c r="N317" i="1"/>
  <c r="N220" i="1"/>
  <c r="N316" i="1"/>
  <c r="N213" i="1"/>
  <c r="N240" i="1"/>
  <c r="N156" i="1"/>
  <c r="N327" i="1"/>
  <c r="N41" i="1"/>
  <c r="N40" i="1"/>
  <c r="N361" i="1"/>
  <c r="N27" i="1"/>
  <c r="N360" i="1"/>
  <c r="N86" i="1"/>
  <c r="N315" i="1"/>
  <c r="N290" i="1"/>
  <c r="N390" i="1"/>
  <c r="N124" i="1"/>
  <c r="O390" i="1"/>
  <c r="O290" i="1"/>
  <c r="O315" i="1"/>
  <c r="O86" i="1"/>
  <c r="O360" i="1"/>
  <c r="O27" i="1"/>
  <c r="O361" i="1"/>
  <c r="O40" i="1"/>
  <c r="O41" i="1"/>
  <c r="O327" i="1"/>
  <c r="O156" i="1"/>
  <c r="O240" i="1"/>
  <c r="O213" i="1"/>
  <c r="O316" i="1"/>
  <c r="O220" i="1"/>
  <c r="O317" i="1"/>
  <c r="O400" i="1"/>
  <c r="O399" i="1"/>
  <c r="O347" i="1"/>
  <c r="O404" i="1"/>
  <c r="O398" i="1"/>
  <c r="O159" i="1"/>
  <c r="O380" i="1"/>
  <c r="O175" i="1"/>
  <c r="O350" i="1"/>
  <c r="O351" i="1"/>
  <c r="O340" i="1"/>
  <c r="O348" i="1"/>
  <c r="O30" i="1"/>
  <c r="O190" i="1"/>
  <c r="O277" i="1"/>
  <c r="O155" i="1"/>
  <c r="O154" i="1"/>
  <c r="O152" i="1"/>
  <c r="O153" i="1"/>
  <c r="O151" i="1"/>
  <c r="O9" i="1"/>
  <c r="O187" i="1"/>
  <c r="O72" i="1"/>
  <c r="O229" i="1"/>
  <c r="O301" i="1"/>
  <c r="O47" i="1"/>
  <c r="O224" i="1"/>
  <c r="O294" i="1"/>
  <c r="O293" i="1"/>
  <c r="O4" i="1"/>
  <c r="O295" i="1"/>
  <c r="O89" i="1"/>
  <c r="O94" i="1"/>
  <c r="O305" i="1"/>
  <c r="O200" i="1"/>
  <c r="O77" i="1"/>
  <c r="O102" i="1"/>
  <c r="O241" i="1"/>
  <c r="O226" i="1"/>
  <c r="O203" i="1"/>
  <c r="O244" i="1"/>
  <c r="O73" i="1"/>
  <c r="O185" i="1"/>
  <c r="O195" i="1"/>
  <c r="O93" i="1"/>
  <c r="O280" i="1"/>
  <c r="O223" i="1"/>
  <c r="O182" i="1"/>
  <c r="O191" i="1"/>
  <c r="O265" i="1"/>
  <c r="O230" i="1"/>
  <c r="O275" i="1"/>
  <c r="O242" i="1"/>
  <c r="O112" i="1"/>
  <c r="O21" i="1"/>
  <c r="O199" i="1"/>
  <c r="O14" i="1"/>
  <c r="O19" i="1"/>
  <c r="O31" i="1"/>
  <c r="O58" i="1"/>
  <c r="O150" i="1"/>
  <c r="O205" i="1"/>
  <c r="O68" i="1"/>
  <c r="O71" i="1"/>
  <c r="O180" i="1"/>
  <c r="O36" i="1"/>
  <c r="O216" i="1"/>
  <c r="O123" i="1"/>
  <c r="O42" i="1"/>
  <c r="O209" i="1"/>
  <c r="O130" i="1"/>
  <c r="O202" i="1"/>
  <c r="O274" i="1"/>
  <c r="O125" i="1"/>
  <c r="O76" i="1"/>
  <c r="O121" i="1"/>
  <c r="O201" i="1"/>
  <c r="O219" i="1"/>
  <c r="O118" i="1"/>
  <c r="O135" i="1"/>
  <c r="O310" i="1"/>
  <c r="O262" i="1"/>
  <c r="O48" i="1"/>
  <c r="O32" i="1"/>
  <c r="O214" i="1"/>
  <c r="O263" i="1"/>
  <c r="O15" i="1"/>
  <c r="O145" i="1"/>
  <c r="O7" i="1"/>
  <c r="O163" i="1"/>
  <c r="O171" i="1"/>
  <c r="O210" i="1"/>
  <c r="O52" i="1"/>
  <c r="O218" i="1"/>
  <c r="O169" i="1"/>
  <c r="O164" i="1"/>
  <c r="O221" i="1"/>
  <c r="O96" i="1"/>
  <c r="O61" i="1"/>
  <c r="O264" i="1"/>
  <c r="O90" i="1"/>
  <c r="O215" i="1"/>
  <c r="O267" i="1"/>
  <c r="O268" i="1"/>
  <c r="O252" i="1"/>
  <c r="O232" i="1"/>
  <c r="O165" i="1"/>
  <c r="O170" i="1"/>
  <c r="O186" i="1"/>
  <c r="O38" i="1"/>
  <c r="O131" i="1"/>
  <c r="O148" i="1"/>
  <c r="O193" i="1"/>
  <c r="O147" i="1"/>
  <c r="O231" i="1"/>
  <c r="O198" i="1"/>
  <c r="O278" i="1"/>
  <c r="O237" i="1"/>
  <c r="O248" i="1"/>
  <c r="O105" i="1"/>
  <c r="O80" i="1"/>
  <c r="O276" i="1"/>
  <c r="O106" i="1"/>
  <c r="O306" i="1"/>
  <c r="O116" i="1"/>
  <c r="O139" i="1"/>
  <c r="O222" i="1"/>
  <c r="O17" i="1"/>
  <c r="O172" i="1"/>
  <c r="O212" i="1"/>
  <c r="O87" i="1"/>
  <c r="O174" i="1"/>
  <c r="O304" i="1"/>
  <c r="O253" i="1"/>
  <c r="O298" i="1"/>
  <c r="O82" i="1"/>
  <c r="O160" i="1"/>
  <c r="O177" i="1"/>
  <c r="O51" i="1"/>
  <c r="O225" i="1"/>
  <c r="O54" i="1"/>
  <c r="O211" i="1"/>
  <c r="O95" i="1"/>
  <c r="O303" i="1"/>
  <c r="O204" i="1"/>
  <c r="O245" i="1"/>
  <c r="O259" i="1"/>
  <c r="O227" i="1"/>
  <c r="O104" i="1"/>
  <c r="O101" i="1"/>
  <c r="O128" i="1"/>
  <c r="O85" i="1"/>
  <c r="O79" i="1"/>
  <c r="O84" i="1"/>
  <c r="O100" i="1"/>
  <c r="O196" i="1"/>
  <c r="O309" i="1"/>
  <c r="O162" i="1"/>
  <c r="O234" i="1"/>
  <c r="O134" i="1"/>
  <c r="O99" i="1"/>
  <c r="O39" i="1"/>
  <c r="O247" i="1"/>
  <c r="O65" i="1"/>
  <c r="O33" i="1"/>
  <c r="O246" i="1"/>
  <c r="O228" i="1"/>
  <c r="O74" i="1"/>
  <c r="O113" i="1"/>
  <c r="O273" i="1"/>
  <c r="O260" i="1"/>
  <c r="O117" i="1"/>
  <c r="O24" i="1"/>
  <c r="O13" i="1"/>
  <c r="O69" i="1"/>
  <c r="O206" i="1"/>
  <c r="O46" i="1"/>
  <c r="O110" i="1"/>
  <c r="O146" i="1"/>
  <c r="O88" i="1"/>
  <c r="O70" i="1"/>
  <c r="O133" i="1"/>
  <c r="O44" i="1"/>
  <c r="O166" i="1"/>
  <c r="O239" i="1"/>
  <c r="O28" i="1"/>
  <c r="O26" i="1"/>
  <c r="O45" i="1"/>
  <c r="O271" i="1"/>
  <c r="O158" i="1"/>
  <c r="O97" i="1"/>
  <c r="O35" i="1"/>
  <c r="O78" i="1"/>
  <c r="O149" i="1"/>
  <c r="O255" i="1"/>
  <c r="O18" i="1"/>
  <c r="O311" i="1"/>
  <c r="O75" i="1"/>
  <c r="O62" i="1"/>
  <c r="O261" i="1"/>
  <c r="O266" i="1"/>
  <c r="O270" i="1"/>
  <c r="O272" i="1"/>
  <c r="O258" i="1"/>
  <c r="O257" i="1"/>
  <c r="O254" i="1"/>
  <c r="O192" i="1"/>
  <c r="O281" i="1"/>
  <c r="O5" i="1"/>
  <c r="O188" i="1"/>
  <c r="O207" i="1"/>
  <c r="O43" i="1"/>
  <c r="O383" i="1"/>
  <c r="O300" i="1"/>
  <c r="O318" i="1"/>
  <c r="O173" i="1"/>
  <c r="O319" i="1"/>
  <c r="O279" i="1"/>
  <c r="O407" i="1"/>
  <c r="O114" i="1"/>
  <c r="O395" i="1"/>
  <c r="O111" i="1"/>
  <c r="O343" i="1"/>
  <c r="O308" i="1"/>
  <c r="O63" i="1"/>
  <c r="O320" i="1"/>
  <c r="O189" i="1"/>
  <c r="O197" i="1"/>
  <c r="O59" i="1"/>
  <c r="O60" i="1"/>
  <c r="O235" i="1"/>
  <c r="O236" i="1"/>
  <c r="O362" i="1"/>
  <c r="O122" i="1"/>
  <c r="O363" i="1"/>
  <c r="O251" i="1"/>
  <c r="O386" i="1"/>
  <c r="O181" i="1"/>
  <c r="O396" i="1"/>
  <c r="O2" i="1"/>
  <c r="O385" i="1"/>
  <c r="O401" i="1"/>
  <c r="O108" i="1"/>
  <c r="O364" i="1"/>
  <c r="O6" i="1"/>
  <c r="O142" i="1"/>
  <c r="O321" i="1"/>
  <c r="O178" i="1"/>
  <c r="O322" i="1"/>
  <c r="O157" i="1"/>
  <c r="O126" i="1"/>
  <c r="O323" i="1"/>
  <c r="O313" i="1"/>
  <c r="O344" i="1"/>
  <c r="O91" i="1"/>
  <c r="O367" i="1"/>
  <c r="O103" i="1"/>
  <c r="O365" i="1"/>
  <c r="O167" i="1"/>
  <c r="O356" i="1"/>
  <c r="O64" i="1"/>
  <c r="O369" i="1"/>
  <c r="O34" i="1"/>
  <c r="O324" i="1"/>
  <c r="O269" i="1"/>
  <c r="O132" i="1"/>
  <c r="O325" i="1"/>
  <c r="O289" i="1"/>
  <c r="O144" i="1"/>
  <c r="O326" i="1"/>
  <c r="O314" i="1"/>
  <c r="O329" i="1"/>
  <c r="O291" i="1"/>
  <c r="O387" i="1"/>
  <c r="O168" i="1"/>
  <c r="O328" i="1"/>
  <c r="O354" i="1"/>
  <c r="O405" i="1"/>
  <c r="O353" i="1"/>
  <c r="O355" i="1"/>
  <c r="O194" i="1"/>
  <c r="O352" i="1"/>
  <c r="O297" i="1"/>
  <c r="O217" i="1"/>
  <c r="O349" i="1"/>
  <c r="O107" i="1"/>
  <c r="O109" i="1"/>
  <c r="O331" i="1"/>
  <c r="O312" i="1"/>
  <c r="O23" i="1"/>
  <c r="O137" i="1"/>
  <c r="O332" i="1"/>
  <c r="O141" i="1"/>
  <c r="O183" i="1"/>
  <c r="O370" i="1"/>
  <c r="O81" i="1"/>
  <c r="O333" i="1"/>
  <c r="O296" i="1"/>
  <c r="O371" i="1"/>
  <c r="O238" i="1"/>
  <c r="O249" i="1"/>
  <c r="O334" i="1"/>
  <c r="O29" i="1"/>
  <c r="O330" i="1"/>
  <c r="O292" i="1"/>
  <c r="O127" i="1"/>
  <c r="O357" i="1"/>
  <c r="O366" i="1"/>
  <c r="O37" i="1"/>
  <c r="O11" i="1"/>
  <c r="O335" i="1"/>
  <c r="O22" i="1"/>
  <c r="O403" i="1"/>
  <c r="O56" i="1"/>
  <c r="O256" i="1"/>
  <c r="O338" i="1"/>
  <c r="O119" i="1"/>
  <c r="O373" i="1"/>
  <c r="O286" i="1"/>
  <c r="O8" i="1"/>
  <c r="O336" i="1"/>
  <c r="O208" i="1"/>
  <c r="O402" i="1"/>
  <c r="O115" i="1"/>
  <c r="O372" i="1"/>
  <c r="O176" i="1"/>
  <c r="O391" i="1"/>
  <c r="O374" i="1"/>
  <c r="O50" i="1"/>
  <c r="O375" i="1"/>
  <c r="O288" i="1"/>
  <c r="O136" i="1"/>
  <c r="O341" i="1"/>
  <c r="O83" i="1"/>
  <c r="O184" i="1"/>
  <c r="O389" i="1"/>
  <c r="O302" i="1"/>
  <c r="O381" i="1"/>
  <c r="O299" i="1"/>
  <c r="O384" i="1"/>
  <c r="O287" i="1"/>
  <c r="O388" i="1"/>
  <c r="O25" i="1"/>
  <c r="O394" i="1"/>
  <c r="O10" i="1"/>
  <c r="O16" i="1"/>
  <c r="O397" i="1"/>
  <c r="O140" i="1"/>
  <c r="O392" i="1"/>
  <c r="O66" i="1"/>
  <c r="O393" i="1"/>
  <c r="O67" i="1"/>
  <c r="O406" i="1"/>
  <c r="O20" i="1"/>
  <c r="O307" i="1"/>
  <c r="O243" i="1"/>
  <c r="O376" i="1"/>
  <c r="O368" i="1"/>
  <c r="O92" i="1"/>
  <c r="O377" i="1"/>
  <c r="O3" i="1"/>
  <c r="O382" i="1"/>
  <c r="O98" i="1"/>
  <c r="O342" i="1"/>
  <c r="O120" i="1"/>
  <c r="O12" i="1"/>
  <c r="O337" i="1"/>
  <c r="O233" i="1"/>
  <c r="O138" i="1"/>
  <c r="O345" i="1"/>
  <c r="O49" i="1"/>
  <c r="O55" i="1"/>
  <c r="O129" i="1"/>
  <c r="O143" i="1"/>
  <c r="O378" i="1"/>
  <c r="O161" i="1"/>
  <c r="O379" i="1"/>
  <c r="O179" i="1"/>
  <c r="O358" i="1"/>
  <c r="O359" i="1"/>
  <c r="O408" i="1"/>
  <c r="O53" i="1"/>
  <c r="O250" i="1"/>
  <c r="O339" i="1"/>
  <c r="O57" i="1"/>
  <c r="O346" i="1"/>
  <c r="O124" i="1"/>
  <c r="G9" i="2" a="1"/>
  <c r="G9" i="2" s="1"/>
  <c r="G2" i="2" a="1"/>
  <c r="G2" i="2" s="1"/>
  <c r="AD41" i="1" s="1"/>
  <c r="AD283" i="1" l="1"/>
  <c r="AD284" i="1"/>
  <c r="AD285" i="1"/>
  <c r="AD346" i="1"/>
  <c r="AD57" i="1"/>
  <c r="AD339" i="1"/>
  <c r="AD250" i="1"/>
  <c r="AE409" i="1"/>
  <c r="AE282" i="1"/>
  <c r="AE283" i="1"/>
  <c r="AD409" i="1"/>
  <c r="AE284" i="1"/>
  <c r="AD282" i="1"/>
  <c r="AE285" i="1"/>
  <c r="AE27" i="1"/>
  <c r="AD179" i="1"/>
  <c r="AE333" i="1"/>
  <c r="AD111" i="1"/>
  <c r="AE228" i="1"/>
  <c r="AE302" i="1"/>
  <c r="AD367" i="1"/>
  <c r="AD99" i="1"/>
  <c r="AD55" i="1"/>
  <c r="AE288" i="1"/>
  <c r="AE322" i="1"/>
  <c r="AD279" i="1"/>
  <c r="AD180" i="1"/>
  <c r="AD23" i="1"/>
  <c r="AE318" i="1"/>
  <c r="AE259" i="1"/>
  <c r="AD120" i="1"/>
  <c r="AD217" i="1"/>
  <c r="AD318" i="1"/>
  <c r="AD242" i="1"/>
  <c r="AE342" i="1"/>
  <c r="AE297" i="1"/>
  <c r="AD188" i="1"/>
  <c r="AD223" i="1"/>
  <c r="AE119" i="1"/>
  <c r="AD251" i="1"/>
  <c r="AE222" i="1"/>
  <c r="AD368" i="1"/>
  <c r="AD328" i="1"/>
  <c r="AD270" i="1"/>
  <c r="AD4" i="1"/>
  <c r="AE393" i="1"/>
  <c r="AD326" i="1"/>
  <c r="AE59" i="1"/>
  <c r="AD187" i="1"/>
  <c r="AD393" i="1"/>
  <c r="AE144" i="1"/>
  <c r="AE45" i="1"/>
  <c r="AD340" i="1"/>
  <c r="AD408" i="1"/>
  <c r="AD10" i="1"/>
  <c r="AD330" i="1"/>
  <c r="AD34" i="1"/>
  <c r="AD197" i="1"/>
  <c r="AE70" i="1"/>
  <c r="AD96" i="1"/>
  <c r="AE399" i="1"/>
  <c r="AD381" i="1"/>
  <c r="AE367" i="1"/>
  <c r="AD262" i="1"/>
  <c r="AE143" i="1"/>
  <c r="AD333" i="1"/>
  <c r="AE407" i="1"/>
  <c r="AD125" i="1"/>
  <c r="AE23" i="1"/>
  <c r="AE84" i="1"/>
  <c r="AE49" i="1"/>
  <c r="AD288" i="1"/>
  <c r="AD322" i="1"/>
  <c r="AE199" i="1"/>
  <c r="AD115" i="1"/>
  <c r="AD108" i="1"/>
  <c r="AD54" i="1"/>
  <c r="AE402" i="1"/>
  <c r="AE401" i="1"/>
  <c r="AD253" i="1"/>
  <c r="AE368" i="1"/>
  <c r="AD354" i="1"/>
  <c r="AD5" i="1"/>
  <c r="AD226" i="1"/>
  <c r="AD119" i="1"/>
  <c r="AE363" i="1"/>
  <c r="AD105" i="1"/>
  <c r="AE11" i="1"/>
  <c r="AD255" i="1"/>
  <c r="AD193" i="1"/>
  <c r="AD11" i="1"/>
  <c r="AD59" i="1"/>
  <c r="AD252" i="1"/>
  <c r="AD358" i="1"/>
  <c r="AE394" i="1"/>
  <c r="AE29" i="1"/>
  <c r="AE369" i="1"/>
  <c r="AD343" i="1"/>
  <c r="AD69" i="1"/>
  <c r="AD163" i="1"/>
  <c r="AE41" i="1"/>
  <c r="AD347" i="1"/>
  <c r="AD348" i="1"/>
  <c r="AE187" i="1"/>
  <c r="AE295" i="1"/>
  <c r="AE226" i="1"/>
  <c r="AD182" i="1"/>
  <c r="AD14" i="1"/>
  <c r="AE180" i="1"/>
  <c r="AE125" i="1"/>
  <c r="AE262" i="1"/>
  <c r="AD171" i="1"/>
  <c r="AE96" i="1"/>
  <c r="AE252" i="1"/>
  <c r="AE193" i="1"/>
  <c r="AD80" i="1"/>
  <c r="AD17" i="1"/>
  <c r="AE253" i="1"/>
  <c r="AE54" i="1"/>
  <c r="AD227" i="1"/>
  <c r="AD100" i="1"/>
  <c r="AE99" i="1"/>
  <c r="AD74" i="1"/>
  <c r="AE69" i="1"/>
  <c r="AD133" i="1"/>
  <c r="AD271" i="1"/>
  <c r="AD18" i="1"/>
  <c r="AE270" i="1"/>
  <c r="AE5" i="1"/>
  <c r="AD173" i="1"/>
  <c r="AE343" i="1"/>
  <c r="AD60" i="1"/>
  <c r="AE251" i="1"/>
  <c r="AE108" i="1"/>
  <c r="AD157" i="1"/>
  <c r="AD103" i="1"/>
  <c r="AE34" i="1"/>
  <c r="AD314" i="1"/>
  <c r="AE354" i="1"/>
  <c r="AE217" i="1"/>
  <c r="AD137" i="1"/>
  <c r="AD296" i="1"/>
  <c r="AE330" i="1"/>
  <c r="AD335" i="1"/>
  <c r="AD373" i="1"/>
  <c r="AD372" i="1"/>
  <c r="AD136" i="1"/>
  <c r="AE381" i="1"/>
  <c r="AE10" i="1"/>
  <c r="AD67" i="1"/>
  <c r="AD92" i="1"/>
  <c r="AD12" i="1"/>
  <c r="AD129" i="1"/>
  <c r="AE358" i="1"/>
  <c r="AE346" i="1"/>
  <c r="AD390" i="1"/>
  <c r="AD327" i="1"/>
  <c r="AE347" i="1"/>
  <c r="AD190" i="1"/>
  <c r="AD72" i="1"/>
  <c r="AD89" i="1"/>
  <c r="AD203" i="1"/>
  <c r="AE191" i="1"/>
  <c r="AD19" i="1"/>
  <c r="AD36" i="1"/>
  <c r="AD76" i="1"/>
  <c r="AD48" i="1"/>
  <c r="AE171" i="1"/>
  <c r="AD61" i="1"/>
  <c r="AD232" i="1"/>
  <c r="AD147" i="1"/>
  <c r="AE80" i="1"/>
  <c r="AE17" i="1"/>
  <c r="AD298" i="1"/>
  <c r="AD211" i="1"/>
  <c r="AE227" i="1"/>
  <c r="AE100" i="1"/>
  <c r="AD39" i="1"/>
  <c r="AD113" i="1"/>
  <c r="AD206" i="1"/>
  <c r="AD44" i="1"/>
  <c r="AE271" i="1"/>
  <c r="AE18" i="1"/>
  <c r="AD272" i="1"/>
  <c r="AD319" i="1"/>
  <c r="AD308" i="1"/>
  <c r="AE60" i="1"/>
  <c r="AD386" i="1"/>
  <c r="AD364" i="1"/>
  <c r="AE157" i="1"/>
  <c r="AE103" i="1"/>
  <c r="AD324" i="1"/>
  <c r="AE314" i="1"/>
  <c r="AD405" i="1"/>
  <c r="AD349" i="1"/>
  <c r="AE137" i="1"/>
  <c r="AE296" i="1"/>
  <c r="AD292" i="1"/>
  <c r="AE335" i="1"/>
  <c r="AD286" i="1"/>
  <c r="AE372" i="1"/>
  <c r="AE136" i="1"/>
  <c r="AD299" i="1"/>
  <c r="AD16" i="1"/>
  <c r="AD406" i="1"/>
  <c r="AE92" i="1"/>
  <c r="AD337" i="1"/>
  <c r="AE129" i="1"/>
  <c r="AD359" i="1"/>
  <c r="AD8" i="1"/>
  <c r="AE341" i="1"/>
  <c r="AD397" i="1"/>
  <c r="AD3" i="1"/>
  <c r="AD290" i="1"/>
  <c r="AE156" i="1"/>
  <c r="AD404" i="1"/>
  <c r="AD277" i="1"/>
  <c r="AE72" i="1"/>
  <c r="AE89" i="1"/>
  <c r="AD244" i="1"/>
  <c r="AD265" i="1"/>
  <c r="AE19" i="1"/>
  <c r="AE216" i="1"/>
  <c r="AE76" i="1"/>
  <c r="AD32" i="1"/>
  <c r="AD210" i="1"/>
  <c r="AD264" i="1"/>
  <c r="AD165" i="1"/>
  <c r="AD231" i="1"/>
  <c r="AD276" i="1"/>
  <c r="AD172" i="1"/>
  <c r="AE298" i="1"/>
  <c r="AE211" i="1"/>
  <c r="AD104" i="1"/>
  <c r="AD196" i="1"/>
  <c r="AD247" i="1"/>
  <c r="AD273" i="1"/>
  <c r="AE206" i="1"/>
  <c r="AE44" i="1"/>
  <c r="AD158" i="1"/>
  <c r="AD311" i="1"/>
  <c r="AE272" i="1"/>
  <c r="AD207" i="1"/>
  <c r="AE319" i="1"/>
  <c r="AE308" i="1"/>
  <c r="AD235" i="1"/>
  <c r="AE386" i="1"/>
  <c r="AE364" i="1"/>
  <c r="AD126" i="1"/>
  <c r="AD365" i="1"/>
  <c r="AD269" i="1"/>
  <c r="AD329" i="1"/>
  <c r="AE405" i="1"/>
  <c r="AE349" i="1"/>
  <c r="AD332" i="1"/>
  <c r="AD371" i="1"/>
  <c r="AE292" i="1"/>
  <c r="AD22" i="1"/>
  <c r="AE286" i="1"/>
  <c r="AD176" i="1"/>
  <c r="AD341" i="1"/>
  <c r="AD384" i="1"/>
  <c r="AE16" i="1"/>
  <c r="AE406" i="1"/>
  <c r="AD377" i="1"/>
  <c r="AE337" i="1"/>
  <c r="AD143" i="1"/>
  <c r="AE359" i="1"/>
  <c r="AE290" i="1"/>
  <c r="AD240" i="1"/>
  <c r="AD398" i="1"/>
  <c r="AE277" i="1"/>
  <c r="AD229" i="1"/>
  <c r="AD94" i="1"/>
  <c r="AE244" i="1"/>
  <c r="AD230" i="1"/>
  <c r="AD31" i="1"/>
  <c r="AD123" i="1"/>
  <c r="AD121" i="1"/>
  <c r="AE214" i="1"/>
  <c r="AE210" i="1"/>
  <c r="AE264" i="1"/>
  <c r="AE165" i="1"/>
  <c r="AE231" i="1"/>
  <c r="AE276" i="1"/>
  <c r="AE172" i="1"/>
  <c r="AD82" i="1"/>
  <c r="AD95" i="1"/>
  <c r="AD101" i="1"/>
  <c r="AD309" i="1"/>
  <c r="AE247" i="1"/>
  <c r="AE273" i="1"/>
  <c r="AD46" i="1"/>
  <c r="AD166" i="1"/>
  <c r="AE158" i="1"/>
  <c r="AE311" i="1"/>
  <c r="AD258" i="1"/>
  <c r="AE207" i="1"/>
  <c r="AD63" i="1"/>
  <c r="AE235" i="1"/>
  <c r="AD181" i="1"/>
  <c r="AD6" i="1"/>
  <c r="AE126" i="1"/>
  <c r="AD167" i="1"/>
  <c r="AE269" i="1"/>
  <c r="AE329" i="1"/>
  <c r="AD353" i="1"/>
  <c r="AD107" i="1"/>
  <c r="AE332" i="1"/>
  <c r="AE371" i="1"/>
  <c r="AD127" i="1"/>
  <c r="AD403" i="1"/>
  <c r="AD391" i="1"/>
  <c r="AE384" i="1"/>
  <c r="AD20" i="1"/>
  <c r="AD233" i="1"/>
  <c r="AD315" i="1"/>
  <c r="AE240" i="1"/>
  <c r="AD159" i="1"/>
  <c r="AD155" i="1"/>
  <c r="AE301" i="1"/>
  <c r="AD305" i="1"/>
  <c r="AD73" i="1"/>
  <c r="AE230" i="1"/>
  <c r="AE31" i="1"/>
  <c r="AE123" i="1"/>
  <c r="AD201" i="1"/>
  <c r="AD263" i="1"/>
  <c r="AD52" i="1"/>
  <c r="AD90" i="1"/>
  <c r="AD170" i="1"/>
  <c r="AD198" i="1"/>
  <c r="AD106" i="1"/>
  <c r="AD212" i="1"/>
  <c r="AD160" i="1"/>
  <c r="AE95" i="1"/>
  <c r="AD128" i="1"/>
  <c r="AE309" i="1"/>
  <c r="AD65" i="1"/>
  <c r="AD260" i="1"/>
  <c r="AE46" i="1"/>
  <c r="AE166" i="1"/>
  <c r="AD97" i="1"/>
  <c r="AD75" i="1"/>
  <c r="AD257" i="1"/>
  <c r="AD43" i="1"/>
  <c r="AE279" i="1"/>
  <c r="AE63" i="1"/>
  <c r="AD236" i="1"/>
  <c r="AE181" i="1"/>
  <c r="AE6" i="1"/>
  <c r="AD323" i="1"/>
  <c r="AE167" i="1"/>
  <c r="AD132" i="1"/>
  <c r="AD291" i="1"/>
  <c r="AE353" i="1"/>
  <c r="AE107" i="1"/>
  <c r="AD141" i="1"/>
  <c r="AD238" i="1"/>
  <c r="AD357" i="1"/>
  <c r="AD56" i="1"/>
  <c r="AE8" i="1"/>
  <c r="AE391" i="1"/>
  <c r="AD83" i="1"/>
  <c r="AD287" i="1"/>
  <c r="AE397" i="1"/>
  <c r="AD307" i="1"/>
  <c r="AE3" i="1"/>
  <c r="AE233" i="1"/>
  <c r="AD378" i="1"/>
  <c r="AE408" i="1"/>
  <c r="AE320" i="1"/>
  <c r="AD362" i="1"/>
  <c r="AE396" i="1"/>
  <c r="AD321" i="1"/>
  <c r="AE313" i="1"/>
  <c r="AE356" i="1"/>
  <c r="AD325" i="1"/>
  <c r="AD387" i="1"/>
  <c r="AD194" i="1"/>
  <c r="AE109" i="1"/>
  <c r="AD370" i="1"/>
  <c r="AE249" i="1"/>
  <c r="AD366" i="1"/>
  <c r="AD256" i="1"/>
  <c r="AE336" i="1"/>
  <c r="AE374" i="1"/>
  <c r="AD184" i="1"/>
  <c r="AD388" i="1"/>
  <c r="AD392" i="1"/>
  <c r="AD243" i="1"/>
  <c r="AE382" i="1"/>
  <c r="AE138" i="1"/>
  <c r="AD161" i="1"/>
  <c r="AE53" i="1"/>
  <c r="AE360" i="1"/>
  <c r="AD220" i="1"/>
  <c r="AD350" i="1"/>
  <c r="AE154" i="1"/>
  <c r="AE224" i="1"/>
  <c r="AD77" i="1"/>
  <c r="AE315" i="1"/>
  <c r="AD213" i="1"/>
  <c r="AD175" i="1"/>
  <c r="AE155" i="1"/>
  <c r="AD47" i="1"/>
  <c r="AE305" i="1"/>
  <c r="AD195" i="1"/>
  <c r="AD275" i="1"/>
  <c r="AD58" i="1"/>
  <c r="AD42" i="1"/>
  <c r="AE201" i="1"/>
  <c r="AD15" i="1"/>
  <c r="AD218" i="1"/>
  <c r="AE90" i="1"/>
  <c r="AD186" i="1"/>
  <c r="AE198" i="1"/>
  <c r="AD306" i="1"/>
  <c r="AE212" i="1"/>
  <c r="AE160" i="1"/>
  <c r="AD303" i="1"/>
  <c r="AE128" i="1"/>
  <c r="AD162" i="1"/>
  <c r="AE65" i="1"/>
  <c r="AE260" i="1"/>
  <c r="AD110" i="1"/>
  <c r="AD239" i="1"/>
  <c r="AE97" i="1"/>
  <c r="AD62" i="1"/>
  <c r="AE257" i="1"/>
  <c r="AE43" i="1"/>
  <c r="AD407" i="1"/>
  <c r="AD320" i="1"/>
  <c r="AE236" i="1"/>
  <c r="AD396" i="1"/>
  <c r="AD142" i="1"/>
  <c r="AD313" i="1"/>
  <c r="AD356" i="1"/>
  <c r="AE132" i="1"/>
  <c r="AE291" i="1"/>
  <c r="AD355" i="1"/>
  <c r="AD109" i="1"/>
  <c r="AD183" i="1"/>
  <c r="AD249" i="1"/>
  <c r="AE357" i="1"/>
  <c r="AE56" i="1"/>
  <c r="AD336" i="1"/>
  <c r="AD374" i="1"/>
  <c r="AE83" i="1"/>
  <c r="AE287" i="1"/>
  <c r="AD140" i="1"/>
  <c r="AE307" i="1"/>
  <c r="AD382" i="1"/>
  <c r="AD138" i="1"/>
  <c r="AE378" i="1"/>
  <c r="AD53" i="1"/>
  <c r="AD86" i="1"/>
  <c r="AD316" i="1"/>
  <c r="AE175" i="1"/>
  <c r="AD154" i="1"/>
  <c r="AD224" i="1"/>
  <c r="AD200" i="1"/>
  <c r="AE195" i="1"/>
  <c r="AE275" i="1"/>
  <c r="AE150" i="1"/>
  <c r="AD209" i="1"/>
  <c r="AD219" i="1"/>
  <c r="AE15" i="1"/>
  <c r="AE218" i="1"/>
  <c r="AD215" i="1"/>
  <c r="AE186" i="1"/>
  <c r="AD278" i="1"/>
  <c r="AE306" i="1"/>
  <c r="AD87" i="1"/>
  <c r="AD177" i="1"/>
  <c r="AD204" i="1"/>
  <c r="AD85" i="1"/>
  <c r="AE162" i="1"/>
  <c r="AD33" i="1"/>
  <c r="AD117" i="1"/>
  <c r="AE110" i="1"/>
  <c r="AE239" i="1"/>
  <c r="AD35" i="1"/>
  <c r="AE62" i="1"/>
  <c r="AD254" i="1"/>
  <c r="AD383" i="1"/>
  <c r="AD50" i="1"/>
  <c r="AE312" i="1"/>
  <c r="AE338" i="1"/>
  <c r="AD302" i="1"/>
  <c r="AE66" i="1"/>
  <c r="AD342" i="1"/>
  <c r="AE379" i="1"/>
  <c r="AD399" i="1"/>
  <c r="AE351" i="1"/>
  <c r="AE241" i="1"/>
  <c r="AD199" i="1"/>
  <c r="AE274" i="1"/>
  <c r="AE7" i="1"/>
  <c r="AD148" i="1"/>
  <c r="AE304" i="1"/>
  <c r="AD259" i="1"/>
  <c r="AE134" i="1"/>
  <c r="AD13" i="1"/>
  <c r="AE149" i="1"/>
  <c r="AD281" i="1"/>
  <c r="AD93" i="1"/>
  <c r="AD205" i="1"/>
  <c r="AE209" i="1"/>
  <c r="AD135" i="1"/>
  <c r="AD145" i="1"/>
  <c r="AD169" i="1"/>
  <c r="AD267" i="1"/>
  <c r="AD38" i="1"/>
  <c r="AE278" i="1"/>
  <c r="AD116" i="1"/>
  <c r="AE87" i="1"/>
  <c r="AD51" i="1"/>
  <c r="AE204" i="1"/>
  <c r="AE85" i="1"/>
  <c r="AD234" i="1"/>
  <c r="AE33" i="1"/>
  <c r="AE117" i="1"/>
  <c r="AD146" i="1"/>
  <c r="AD28" i="1"/>
  <c r="AD78" i="1"/>
  <c r="AD261" i="1"/>
  <c r="AE254" i="1"/>
  <c r="AE383" i="1"/>
  <c r="AD114" i="1"/>
  <c r="AD189" i="1"/>
  <c r="AE362" i="1"/>
  <c r="AD2" i="1"/>
  <c r="AE321" i="1"/>
  <c r="AD344" i="1"/>
  <c r="AD64" i="1"/>
  <c r="AD289" i="1"/>
  <c r="AE387" i="1"/>
  <c r="AE194" i="1"/>
  <c r="AD331" i="1"/>
  <c r="AE370" i="1"/>
  <c r="AD334" i="1"/>
  <c r="AE366" i="1"/>
  <c r="AE256" i="1"/>
  <c r="AD208" i="1"/>
  <c r="AE184" i="1"/>
  <c r="AD25" i="1"/>
  <c r="AE392" i="1"/>
  <c r="AE243" i="1"/>
  <c r="AD98" i="1"/>
  <c r="AD345" i="1"/>
  <c r="AE161" i="1"/>
  <c r="AE300" i="1"/>
  <c r="AD363" i="1"/>
  <c r="AD401" i="1"/>
  <c r="AE178" i="1"/>
  <c r="AE91" i="1"/>
  <c r="AD369" i="1"/>
  <c r="AD144" i="1"/>
  <c r="AE168" i="1"/>
  <c r="AD297" i="1"/>
  <c r="AE81" i="1"/>
  <c r="AD29" i="1"/>
  <c r="AE37" i="1"/>
  <c r="AD402" i="1"/>
  <c r="AD375" i="1"/>
  <c r="AD394" i="1"/>
  <c r="AE376" i="1"/>
  <c r="AD49" i="1"/>
  <c r="AD40" i="1"/>
  <c r="AD9" i="1"/>
  <c r="AE293" i="1"/>
  <c r="AE280" i="1"/>
  <c r="AD71" i="1"/>
  <c r="AE310" i="1"/>
  <c r="AD221" i="1"/>
  <c r="AE268" i="1"/>
  <c r="AD248" i="1"/>
  <c r="AD222" i="1"/>
  <c r="AE225" i="1"/>
  <c r="AD84" i="1"/>
  <c r="AD228" i="1"/>
  <c r="AD45" i="1"/>
  <c r="AE266" i="1"/>
  <c r="AD27" i="1"/>
  <c r="AD317" i="1"/>
  <c r="AE350" i="1"/>
  <c r="AD152" i="1"/>
  <c r="AD294" i="1"/>
  <c r="AE102" i="1"/>
  <c r="AE93" i="1"/>
  <c r="AE242" i="1"/>
  <c r="AD68" i="1"/>
  <c r="AD130" i="1"/>
  <c r="AE135" i="1"/>
  <c r="AE145" i="1"/>
  <c r="AE169" i="1"/>
  <c r="AE267" i="1"/>
  <c r="AD131" i="1"/>
  <c r="AD237" i="1"/>
  <c r="AE116" i="1"/>
  <c r="AD174" i="1"/>
  <c r="AE51" i="1"/>
  <c r="AD245" i="1"/>
  <c r="AD79" i="1"/>
  <c r="AE234" i="1"/>
  <c r="AD246" i="1"/>
  <c r="AD24" i="1"/>
  <c r="AE146" i="1"/>
  <c r="AD26" i="1"/>
  <c r="AE78" i="1"/>
  <c r="AE261" i="1"/>
  <c r="AD192" i="1"/>
  <c r="AD300" i="1"/>
  <c r="AE114" i="1"/>
  <c r="AE189" i="1"/>
  <c r="AD122" i="1"/>
  <c r="AD385" i="1"/>
  <c r="AD178" i="1"/>
  <c r="AD91" i="1"/>
  <c r="AE64" i="1"/>
  <c r="AE289" i="1"/>
  <c r="AD168" i="1"/>
  <c r="AD352" i="1"/>
  <c r="AD312" i="1"/>
  <c r="AD81" i="1"/>
  <c r="AE334" i="1"/>
  <c r="AD37" i="1"/>
  <c r="AD338" i="1"/>
  <c r="AE208" i="1"/>
  <c r="AE50" i="1"/>
  <c r="AD389" i="1"/>
  <c r="AE25" i="1"/>
  <c r="AD66" i="1"/>
  <c r="AD376" i="1"/>
  <c r="AE98" i="1"/>
  <c r="AE345" i="1"/>
  <c r="AD379" i="1"/>
  <c r="AE250" i="1"/>
  <c r="AD361" i="1"/>
  <c r="AE400" i="1"/>
  <c r="AD351" i="1"/>
  <c r="AD151" i="1"/>
  <c r="AD293" i="1"/>
  <c r="AD241" i="1"/>
  <c r="AD280" i="1"/>
  <c r="AD112" i="1"/>
  <c r="AE68" i="1"/>
  <c r="AD202" i="1"/>
  <c r="AD310" i="1"/>
  <c r="AD7" i="1"/>
  <c r="AD164" i="1"/>
  <c r="AD268" i="1"/>
  <c r="AE131" i="1"/>
  <c r="AE237" i="1"/>
  <c r="AD139" i="1"/>
  <c r="AD304" i="1"/>
  <c r="AD225" i="1"/>
  <c r="AE245" i="1"/>
  <c r="AE79" i="1"/>
  <c r="AD134" i="1"/>
  <c r="AE246" i="1"/>
  <c r="AE24" i="1"/>
  <c r="AD88" i="1"/>
  <c r="AE26" i="1"/>
  <c r="AD149" i="1"/>
  <c r="AD266" i="1"/>
  <c r="AE192" i="1"/>
  <c r="AD395" i="1"/>
  <c r="AD70" i="1"/>
  <c r="AE248" i="1"/>
  <c r="AE232" i="1"/>
  <c r="AE52" i="1"/>
  <c r="AE148" i="1"/>
  <c r="AE61" i="1"/>
  <c r="AE263" i="1"/>
  <c r="AE118" i="1"/>
  <c r="AE130" i="1"/>
  <c r="AE71" i="1"/>
  <c r="AE14" i="1"/>
  <c r="AE265" i="1"/>
  <c r="AE185" i="1"/>
  <c r="AE200" i="1"/>
  <c r="AE294" i="1"/>
  <c r="AE9" i="1"/>
  <c r="AE190" i="1"/>
  <c r="AE380" i="1"/>
  <c r="AE220" i="1"/>
  <c r="AE40" i="1"/>
  <c r="AE390" i="1"/>
  <c r="AE151" i="1"/>
  <c r="AE30" i="1"/>
  <c r="AE398" i="1"/>
  <c r="AE316" i="1"/>
  <c r="AE361" i="1"/>
  <c r="AE124" i="1"/>
  <c r="AD124" i="1"/>
  <c r="AE57" i="1"/>
  <c r="AE120" i="1"/>
  <c r="AE67" i="1"/>
  <c r="AE299" i="1"/>
  <c r="AE176" i="1"/>
  <c r="AE403" i="1"/>
  <c r="AE141" i="1"/>
  <c r="AE355" i="1"/>
  <c r="AE325" i="1"/>
  <c r="AE344" i="1"/>
  <c r="AE385" i="1"/>
  <c r="AE395" i="1"/>
  <c r="AE281" i="1"/>
  <c r="AE255" i="1"/>
  <c r="AE133" i="1"/>
  <c r="AE113" i="1"/>
  <c r="AE104" i="1"/>
  <c r="AE82" i="1"/>
  <c r="AE106" i="1"/>
  <c r="AE38" i="1"/>
  <c r="AE221" i="1"/>
  <c r="AE48" i="1"/>
  <c r="AE121" i="1"/>
  <c r="AE42" i="1"/>
  <c r="AE205" i="1"/>
  <c r="AE21" i="1"/>
  <c r="AE223" i="1"/>
  <c r="AE203" i="1"/>
  <c r="AE94" i="1"/>
  <c r="AE47" i="1"/>
  <c r="AE153" i="1"/>
  <c r="AE340" i="1"/>
  <c r="AE404" i="1"/>
  <c r="AE213" i="1"/>
  <c r="AE86" i="1"/>
  <c r="AE327" i="1"/>
  <c r="AE317" i="1"/>
  <c r="AE159" i="1"/>
  <c r="AE348" i="1"/>
  <c r="AE152" i="1"/>
  <c r="AE229" i="1"/>
  <c r="AE4" i="1"/>
  <c r="AE77" i="1"/>
  <c r="AE73" i="1"/>
  <c r="AE182" i="1"/>
  <c r="AE112" i="1"/>
  <c r="AE58" i="1"/>
  <c r="AE36" i="1"/>
  <c r="AE202" i="1"/>
  <c r="AE219" i="1"/>
  <c r="AE32" i="1"/>
  <c r="AE163" i="1"/>
  <c r="AE164" i="1"/>
  <c r="AE215" i="1"/>
  <c r="AE170" i="1"/>
  <c r="AE147" i="1"/>
  <c r="AE105" i="1"/>
  <c r="AE139" i="1"/>
  <c r="AE174" i="1"/>
  <c r="AE177" i="1"/>
  <c r="AE303" i="1"/>
  <c r="AE101" i="1"/>
  <c r="AE196" i="1"/>
  <c r="AE39" i="1"/>
  <c r="AE74" i="1"/>
  <c r="AE13" i="1"/>
  <c r="AE88" i="1"/>
  <c r="AE28" i="1"/>
  <c r="AE35" i="1"/>
  <c r="AE75" i="1"/>
  <c r="AE258" i="1"/>
  <c r="AE188" i="1"/>
  <c r="AE173" i="1"/>
  <c r="AE111" i="1"/>
  <c r="AE197" i="1"/>
  <c r="AE122" i="1"/>
  <c r="AE2" i="1"/>
  <c r="AE142" i="1"/>
  <c r="AE323" i="1"/>
  <c r="AE365" i="1"/>
  <c r="AE324" i="1"/>
  <c r="AE326" i="1"/>
  <c r="AE328" i="1"/>
  <c r="AE352" i="1"/>
  <c r="AE331" i="1"/>
  <c r="AE183" i="1"/>
  <c r="AE238" i="1"/>
  <c r="AE127" i="1"/>
  <c r="AE22" i="1"/>
  <c r="AE373" i="1"/>
  <c r="AE115" i="1"/>
  <c r="AE375" i="1"/>
  <c r="AE389" i="1"/>
  <c r="AE388" i="1"/>
  <c r="AE140" i="1"/>
  <c r="AE20" i="1"/>
  <c r="AE377" i="1"/>
  <c r="AE12" i="1"/>
  <c r="AE55" i="1"/>
  <c r="AE179" i="1"/>
  <c r="AE339" i="1"/>
  <c r="AD360" i="1"/>
  <c r="AD156" i="1"/>
  <c r="AD400" i="1"/>
  <c r="AD380" i="1"/>
  <c r="AD30" i="1"/>
  <c r="AD153" i="1"/>
  <c r="AD301" i="1"/>
  <c r="AD295" i="1"/>
  <c r="AD102" i="1"/>
  <c r="AD185" i="1"/>
  <c r="AD191" i="1"/>
  <c r="AD21" i="1"/>
  <c r="AD150" i="1"/>
  <c r="AD216" i="1"/>
  <c r="AD274" i="1"/>
  <c r="AD118" i="1"/>
  <c r="AD2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<sst xmlns="http://schemas.openxmlformats.org/spreadsheetml/2006/main" count="9898" uniqueCount="2032">
  <si>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</si>
  <si>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</si>
  <si>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</si>
  <si>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</si>
  <si>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</si>
  <si>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</si>
  <si>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</si>
  <si>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</si>
  <si>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</si>
  <si>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</si>
  <si>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</si>
  <si>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</si>
  <si>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</si>
  <si>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</si>
  <si>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</si>
  <si>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</si>
  <si>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</si>
  <si>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</si>
  <si>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</si>
  <si>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</si>
  <si>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</si>
  <si>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</si>
  <si>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</si>
  <si>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</si>
  <si>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</si>
  <si>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</si>
  <si>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</si>
  <si>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</si>
  <si>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</si>
  <si>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</si>
  <si>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</si>
  <si>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</si>
  <si>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</si>
  <si>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</si>
  <si>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</si>
  <si>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</si>
  <si>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</si>
  <si>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</si>
  <si>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</si>
  <si>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</si>
  <si>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</si>
  <si>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</si>
  <si>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</si>
  <si>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</si>
  <si>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</si>
  <si>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</si>
  <si>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</si>
  <si>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</si>
  <si>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</si>
  <si>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</si>
  <si>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</si>
  <si>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</si>
  <si>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</si>
  <si>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</si>
  <si>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</si>
  <si>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</si>
  <si>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</si>
  <si>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</si>
  <si>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</si>
  <si>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</si>
  <si>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</si>
  <si>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</si>
  <si>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</si>
  <si>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</si>
  <si>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</si>
  <si>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</si>
  <si>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</si>
  <si>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</si>
  <si>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</si>
  <si>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</si>
  <si>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</si>
  <si>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</si>
  <si>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</si>
  <si>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</si>
  <si>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</si>
  <si>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</si>
  <si>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</si>
  <si>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</si>
  <si>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</si>
  <si>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</si>
  <si>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</si>
  <si>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</si>
  <si>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</si>
  <si>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</si>
  <si>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</si>
  <si>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</si>
  <si>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</si>
  <si>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</si>
  <si>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</si>
  <si>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</si>
  <si>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</si>
  <si>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</si>
  <si>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</si>
  <si>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</si>
  <si>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</si>
  <si>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</si>
  <si>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</si>
  <si>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</si>
  <si>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</si>
  <si>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</si>
  <si>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</si>
  <si>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</si>
  <si>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</si>
  <si>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</si>
  <si>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</si>
  <si>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</si>
  <si>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</si>
  <si>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</si>
  <si>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</si>
  <si>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</si>
  <si>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</si>
  <si>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</si>
  <si>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</si>
  <si>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</si>
  <si>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</si>
  <si>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</si>
  <si>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</si>
  <si>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</si>
  <si>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</si>
  <si>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</si>
  <si>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</si>
  <si>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</si>
  <si>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</si>
  <si>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</si>
  <si>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</si>
  <si>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</si>
  <si>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</si>
  <si>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</si>
  <si>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</si>
  <si>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</si>
  <si>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</si>
  <si>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</si>
  <si>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</si>
  <si>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</si>
  <si>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</si>
  <si>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</si>
  <si>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</si>
  <si>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</si>
  <si>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</si>
  <si>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</si>
  <si>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</si>
  <si>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</si>
  <si>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</si>
  <si>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</si>
  <si>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</si>
  <si>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</si>
  <si>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</si>
  <si>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</si>
  <si>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</si>
  <si>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</si>
  <si>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</si>
  <si>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</si>
  <si>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</si>
  <si>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</si>
  <si>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</si>
  <si>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</si>
  <si>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</si>
  <si>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</si>
  <si>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</si>
  <si>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</si>
  <si>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</si>
  <si>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</si>
  <si>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</si>
  <si>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</si>
  <si>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</si>
  <si>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</si>
  <si>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</si>
  <si>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</si>
  <si>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</si>
  <si>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</si>
  <si>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</si>
  <si>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</si>
  <si>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</si>
  <si>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</si>
  <si>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</si>
  <si>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</si>
  <si>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</si>
  <si>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</si>
  <si>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</si>
  <si>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</si>
  <si>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</si>
  <si>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</si>
  <si>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</si>
  <si>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</si>
  <si>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</si>
  <si>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</si>
  <si>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</si>
  <si>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</si>
  <si>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</si>
  <si>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</si>
  <si>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</si>
  <si>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</si>
  <si>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</si>
  <si>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</si>
  <si>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</si>
  <si>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</si>
  <si>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</si>
  <si>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</si>
  <si>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</si>
  <si>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</si>
  <si>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</si>
  <si>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</si>
  <si>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</si>
  <si>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</si>
  <si>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</si>
  <si>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</si>
  <si>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</si>
  <si>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</si>
  <si>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</si>
  <si>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</si>
  <si>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</si>
  <si>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</si>
  <si>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</si>
  <si>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</si>
  <si>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</si>
  <si>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</si>
  <si>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</si>
  <si>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</si>
  <si>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</si>
  <si>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</si>
  <si>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</si>
  <si>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</si>
  <si>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</si>
  <si>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</si>
  <si>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</si>
  <si>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</si>
  <si>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</si>
  <si>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</si>
  <si>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</si>
  <si>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</si>
  <si>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</si>
  <si>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</si>
  <si>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</si>
  <si>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</si>
  <si>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</si>
  <si>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</si>
  <si>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</si>
  <si>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</si>
  <si>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</si>
  <si>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</si>
  <si>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</si>
  <si>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</si>
  <si>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</si>
  <si>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</si>
  <si>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</si>
  <si>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</si>
  <si>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</si>
  <si>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</si>
  <si>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</si>
  <si>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</si>
  <si>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</si>
  <si>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</si>
  <si>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</si>
  <si>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</si>
  <si>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</si>
  <si>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</si>
  <si>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</si>
  <si>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</si>
  <si>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</si>
  <si>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</si>
  <si>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</si>
  <si>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</si>
  <si>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</si>
  <si>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</si>
  <si>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</si>
  <si>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</si>
  <si>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</si>
  <si>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</si>
  <si>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</si>
  <si>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</si>
  <si>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</si>
  <si>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</si>
  <si>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</si>
  <si>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</si>
  <si>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</si>
  <si>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</si>
  <si>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</si>
  <si>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</si>
  <si>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</si>
  <si>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</si>
  <si>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</si>
  <si>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</si>
  <si>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</si>
  <si>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</si>
  <si>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</si>
  <si>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</si>
  <si>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</si>
  <si>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</si>
  <si>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</si>
  <si>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</si>
  <si>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</si>
  <si>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</si>
  <si>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</si>
  <si>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</si>
  <si>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</si>
  <si>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</si>
  <si>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</si>
  <si>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</si>
  <si>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</si>
  <si>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</si>
  <si>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</si>
  <si>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</si>
  <si>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</si>
  <si>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</si>
  <si>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</si>
  <si>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</si>
  <si>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</si>
  <si>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</si>
  <si>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</si>
  <si>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</si>
  <si>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</si>
  <si>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</si>
  <si>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</si>
  <si>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</si>
  <si>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</si>
  <si>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</si>
  <si>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</si>
  <si>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</si>
  <si>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</si>
  <si>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</si>
  <si>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</si>
  <si>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</si>
  <si>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</si>
  <si>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</si>
  <si>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</si>
  <si>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</si>
  <si>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</si>
  <si>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</si>
  <si>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</si>
  <si>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</si>
  <si>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</si>
  <si>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</si>
  <si>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</si>
  <si>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</si>
  <si>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</si>
  <si>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</si>
  <si>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</si>
  <si>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</si>
  <si>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</si>
  <si>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</si>
  <si>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</si>
  <si>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</si>
  <si>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</si>
  <si>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</si>
  <si>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</si>
  <si>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</si>
  <si>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</si>
  <si>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</si>
  <si>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</si>
  <si>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</si>
  <si>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</si>
  <si>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</si>
  <si>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</si>
  <si>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</si>
  <si>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</si>
  <si>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</si>
  <si>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</si>
  <si>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</si>
  <si>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</si>
  <si>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</si>
  <si>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</si>
  <si>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</si>
  <si>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</si>
  <si>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</si>
  <si>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</si>
  <si>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</si>
  <si>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</si>
  <si>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</si>
  <si>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</si>
  <si>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</si>
  <si>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</si>
  <si>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</si>
  <si>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</si>
  <si>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</si>
  <si>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</si>
  <si>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</si>
  <si>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</si>
  <si>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</si>
  <si>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</si>
  <si>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</si>
  <si>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</si>
  <si>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</si>
  <si>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</si>
  <si>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</si>
  <si>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</si>
  <si>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</si>
  <si>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</si>
  <si>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</si>
  <si>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</si>
  <si>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</si>
  <si>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</si>
  <si>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</si>
  <si>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</si>
  <si>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</si>
  <si>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</si>
  <si>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</si>
  <si>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</si>
  <si>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</si>
  <si>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</si>
  <si>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</si>
  <si>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</si>
  <si>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</si>
  <si>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</si>
  <si>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</si>
  <si>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</si>
  <si>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</si>
  <si>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</si>
  <si>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</si>
  <si>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</si>
  <si>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</si>
  <si>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</si>
  <si>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</si>
  <si>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</si>
  <si>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</si>
  <si>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</si>
  <si>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</si>
  <si>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</si>
  <si>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</si>
  <si>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</si>
  <si>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</si>
  <si>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</si>
  <si>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</si>
  <si>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</si>
  <si>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</si>
  <si>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</si>
  <si>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</si>
  <si>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</si>
  <si>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</si>
  <si>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</si>
  <si>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</si>
  <si>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</si>
  <si>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</si>
  <si>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</si>
  <si>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</si>
  <si>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</si>
  <si>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</si>
  <si>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</si>
  <si>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</si>
  <si>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</si>
  <si>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</si>
  <si>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</si>
  <si>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</si>
  <si>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</si>
  <si>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</si>
  <si>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</si>
  <si>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</si>
  <si>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</si>
  <si>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</si>
  <si>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</si>
  <si>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</si>
  <si>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</si>
  <si>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</si>
  <si>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</si>
  <si>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</si>
  <si>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</si>
  <si>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</si>
  <si>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</si>
  <si>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</si>
  <si>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</si>
  <si>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</si>
  <si>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</si>
  <si>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</si>
  <si>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</si>
  <si>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</si>
  <si>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</si>
  <si>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</si>
  <si>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</si>
  <si>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</si>
  <si>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</si>
  <si>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</si>
  <si>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</si>
  <si>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</si>
  <si>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</si>
  <si>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</si>
  <si>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</si>
  <si>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</si>
  <si>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</si>
  <si>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</si>
  <si>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</si>
  <si>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</si>
  <si>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</si>
  <si>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</si>
  <si>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</si>
  <si>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</si>
  <si>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</si>
  <si>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</si>
  <si>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</si>
  <si>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</si>
  <si>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</si>
  <si>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</si>
  <si>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</si>
  <si>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</si>
  <si>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</si>
  <si>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</si>
  <si>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</si>
  <si>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</si>
  <si>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</si>
  <si>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</si>
  <si>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</si>
  <si>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</si>
  <si>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</si>
  <si>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</si>
  <si>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</si>
  <si>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</si>
  <si>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</si>
  <si>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</si>
  <si>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</si>
  <si>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</si>
  <si>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</si>
  <si>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</si>
  <si>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</si>
  <si>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</si>
  <si>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</si>
  <si>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</si>
  <si>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</si>
  <si>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</si>
  <si>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</si>
  <si>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</si>
  <si>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</si>
  <si>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</si>
  <si>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</si>
  <si>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</si>
  <si>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</si>
  <si>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</si>
  <si>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</si>
  <si>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</si>
  <si>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</si>
  <si>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</si>
  <si>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</si>
  <si>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</si>
  <si>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</si>
  <si>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</si>
  <si>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</si>
  <si>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</si>
  <si>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</si>
  <si>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</si>
  <si>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</si>
  <si>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</si>
  <si>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</si>
  <si>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</si>
  <si>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</si>
  <si>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</si>
  <si>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</si>
  <si>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</si>
  <si>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</si>
  <si>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</si>
  <si>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</si>
  <si>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</si>
  <si>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</si>
  <si>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</si>
  <si>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</si>
  <si>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</si>
  <si>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</si>
  <si>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</si>
  <si>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</si>
  <si>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</si>
  <si>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</si>
  <si>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</si>
  <si>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</si>
  <si>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</si>
  <si>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</si>
  <si>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</si>
  <si>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</si>
  <si>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</si>
  <si>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</si>
  <si>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</si>
  <si>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</si>
  <si>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</si>
  <si>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</si>
  <si>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</si>
  <si>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</si>
  <si>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</si>
  <si>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</si>
  <si>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</si>
  <si>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</si>
  <si>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</si>
  <si>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</si>
  <si>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</si>
  <si>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</si>
  <si>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</si>
  <si>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</si>
  <si>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</si>
  <si>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</si>
  <si>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</si>
  <si>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</si>
  <si>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</si>
  <si>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</si>
  <si>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</si>
  <si>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</si>
  <si>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</si>
  <si>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</si>
  <si>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</si>
  <si>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</si>
  <si>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</si>
  <si>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</si>
  <si>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</si>
  <si>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</si>
  <si>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</si>
  <si>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</si>
  <si>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</si>
  <si>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</si>
  <si>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</si>
  <si>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</si>
  <si>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</si>
  <si>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</si>
  <si>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</si>
  <si>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</si>
  <si>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</si>
  <si>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</si>
  <si>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</si>
  <si>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</si>
  <si>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</si>
  <si>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</si>
  <si>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</si>
  <si>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</si>
  <si>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</si>
  <si>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</si>
  <si>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</si>
  <si>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</si>
  <si>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</si>
  <si>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</si>
  <si>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</si>
  <si>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</si>
  <si>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</si>
  <si>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</si>
  <si>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</si>
  <si>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</si>
  <si>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</si>
  <si>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</si>
  <si>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</si>
  <si>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</si>
  <si>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</si>
  <si>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</si>
  <si>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</si>
  <si>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</si>
  <si>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</si>
  <si>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</si>
  <si>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</si>
  <si>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</si>
  <si>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</si>
  <si>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</si>
  <si>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</si>
  <si>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</si>
  <si>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</si>
  <si>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</si>
  <si>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</si>
  <si>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</si>
  <si>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</si>
  <si>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</si>
  <si>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</si>
  <si>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</si>
  <si>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</si>
  <si>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</si>
  <si>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</si>
  <si>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</si>
  <si>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</si>
  <si>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</si>
  <si>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</si>
  <si>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</si>
  <si>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</si>
  <si>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</si>
  <si>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</si>
  <si>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</si>
  <si>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</si>
  <si>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</si>
  <si>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</si>
  <si>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</si>
  <si>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</si>
  <si>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</si>
  <si>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</si>
  <si>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</si>
  <si>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</si>
  <si>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</si>
  <si>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</si>
  <si>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</si>
  <si>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</si>
  <si>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</si>
  <si>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</si>
  <si>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</si>
  <si>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</si>
  <si>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</si>
  <si>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</si>
  <si>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</si>
  <si>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</si>
  <si>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</si>
  <si>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</si>
  <si>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</si>
  <si>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</si>
  <si>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</si>
  <si>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</si>
  <si>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</si>
  <si>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</si>
  <si>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</si>
  <si>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</si>
  <si>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</si>
  <si>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</si>
  <si>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</si>
  <si>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</si>
  <si>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</si>
  <si>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</si>
  <si>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</si>
  <si>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</si>
  <si>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</si>
  <si>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</si>
  <si>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</si>
  <si>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</si>
  <si>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</si>
  <si>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</si>
  <si>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</si>
  <si>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</si>
  <si>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</si>
  <si>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</si>
  <si>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</si>
  <si>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</si>
  <si>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</si>
  <si>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</si>
  <si>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</si>
  <si>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</si>
  <si>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</si>
  <si>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</si>
  <si>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</si>
  <si>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</si>
  <si>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</si>
  <si>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</si>
  <si>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</si>
  <si>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</si>
  <si>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</si>
  <si>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</si>
  <si>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</si>
  <si>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</si>
  <si>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</si>
  <si>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</si>
  <si>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</si>
  <si>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</si>
  <si>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</si>
  <si>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</si>
  <si>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</si>
  <si>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</si>
  <si>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</si>
  <si>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</si>
  <si>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</si>
  <si>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</si>
  <si>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</si>
  <si>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</si>
  <si>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</si>
  <si>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</si>
  <si>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</si>
  <si>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</si>
  <si>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</si>
  <si>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</si>
  <si>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</si>
  <si>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</si>
  <si>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</si>
  <si>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</si>
  <si>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</si>
  <si>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</si>
  <si>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</si>
  <si>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</si>
  <si>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</si>
  <si>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</si>
  <si>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</si>
  <si>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</si>
  <si>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</si>
  <si>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</si>
  <si>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</si>
  <si>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</si>
  <si>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</si>
  <si>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</si>
  <si>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</si>
  <si>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</si>
  <si>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</si>
  <si>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</si>
  <si>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</si>
  <si>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</si>
  <si>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</si>
  <si>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</si>
  <si>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</si>
  <si>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</si>
  <si>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</si>
  <si>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</si>
  <si>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</si>
  <si>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</si>
  <si>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</si>
  <si>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</si>
  <si>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</si>
  <si>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</si>
  <si>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</si>
  <si>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</si>
  <si>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</si>
  <si>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</si>
  <si>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</si>
  <si>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</si>
  <si>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</si>
  <si>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</si>
  <si>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</si>
  <si>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</si>
  <si>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</si>
  <si>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</si>
  <si>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</si>
  <si>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</si>
  <si>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</si>
  <si>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</si>
  <si>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</si>
  <si>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</si>
  <si>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</si>
  <si>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</si>
  <si>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</si>
  <si>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</si>
  <si>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</si>
  <si>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</si>
  <si>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</si>
  <si>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</si>
  <si>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</si>
  <si>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</si>
  <si>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</si>
  <si>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</si>
  <si>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</si>
  <si>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</si>
  <si>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</si>
  <si>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</si>
  <si>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</si>
  <si>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</si>
  <si>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</si>
  <si>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</si>
  <si>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</si>
  <si>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</si>
  <si>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</si>
  <si>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</si>
  <si>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</si>
  <si>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</si>
  <si>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</si>
  <si>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</si>
  <si>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</si>
  <si>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</si>
  <si>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</si>
  <si>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</si>
  <si>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</si>
  <si>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</si>
  <si>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</si>
  <si>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</si>
  <si>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</si>
  <si>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</si>
  <si>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</si>
  <si>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</si>
  <si>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</si>
  <si>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</si>
  <si>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</si>
  <si>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</si>
  <si>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</si>
  <si>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</si>
  <si>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</si>
  <si>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</si>
  <si>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</si>
  <si>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</si>
  <si>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</si>
  <si>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</si>
  <si>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</si>
  <si>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</si>
  <si>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</si>
  <si>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</si>
  <si>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</si>
  <si>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</si>
  <si>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</si>
  <si>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</si>
  <si>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</si>
  <si>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</si>
  <si>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</si>
  <si>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</si>
  <si>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</si>
  <si>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</si>
  <si>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</si>
  <si>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</si>
  <si>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</si>
  <si>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</si>
  <si>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</si>
  <si>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</si>
  <si>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</si>
  <si>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</si>
  <si>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</si>
  <si>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</si>
  <si>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</si>
  <si>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</si>
  <si>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</si>
  <si>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</si>
  <si>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</si>
  <si>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</si>
  <si>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</si>
  <si>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</si>
  <si>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</si>
  <si>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</si>
  <si>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</si>
  <si>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</si>
  <si>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</si>
  <si>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</si>
  <si>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</si>
  <si>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</si>
  <si>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</si>
  <si>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</si>
  <si>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</si>
  <si>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</si>
  <si>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</si>
  <si>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</si>
  <si>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</si>
  <si>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</si>
  <si>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</si>
  <si>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</si>
  <si>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</si>
  <si>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</si>
  <si>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</si>
  <si>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</si>
  <si>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</si>
  <si>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</si>
  <si>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</si>
  <si>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</si>
  <si>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</si>
  <si>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</si>
  <si>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</si>
  <si>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</si>
  <si>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</si>
  <si>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</si>
  <si>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</si>
  <si>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</si>
  <si>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</si>
  <si>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</si>
  <si>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</si>
  <si>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</si>
  <si>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</si>
  <si>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</si>
  <si>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</si>
  <si>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</si>
  <si>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</si>
  <si>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</si>
  <si>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</si>
  <si>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</si>
  <si>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</si>
  <si>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</si>
  <si>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</si>
  <si>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</si>
  <si>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</si>
  <si>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</si>
  <si>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</si>
  <si>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</si>
  <si>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</si>
  <si>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</si>
  <si>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</si>
  <si>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</si>
  <si>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</si>
  <si>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</si>
  <si>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</si>
  <si>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</si>
  <si>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</si>
  <si>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</si>
  <si>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</si>
  <si>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</si>
  <si>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</si>
  <si>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</si>
  <si>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</si>
  <si>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</si>
  <si>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</si>
  <si>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</si>
  <si>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</si>
  <si>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</si>
  <si>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</si>
  <si>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</si>
  <si>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</si>
  <si>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</si>
  <si>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</si>
  <si>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</si>
  <si>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</si>
  <si>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</si>
  <si>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</si>
  <si>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</si>
  <si>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</si>
  <si>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</si>
  <si>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</si>
  <si>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</si>
  <si>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</si>
  <si>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</si>
  <si>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</si>
  <si>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</si>
  <si>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</si>
  <si>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</si>
  <si>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</si>
  <si>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</si>
  <si>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</si>
  <si>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</si>
  <si>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</si>
  <si>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</si>
  <si>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</si>
  <si>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</si>
  <si>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</si>
  <si>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</si>
  <si>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</si>
  <si>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</si>
  <si>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</si>
  <si>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</si>
  <si>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</si>
  <si>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</si>
  <si>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</si>
  <si>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</si>
  <si>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</si>
  <si>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</si>
  <si>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</si>
  <si>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</si>
  <si>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</si>
  <si>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</si>
  <si>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</si>
  <si>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</si>
  <si>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</si>
  <si>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</si>
  <si>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</si>
  <si>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</si>
  <si>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</si>
  <si>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</si>
  <si>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</si>
  <si>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</si>
  <si>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</si>
  <si>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</si>
  <si>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</si>
  <si>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</si>
  <si>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</si>
  <si>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</si>
  <si>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</si>
  <si>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</si>
  <si>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</si>
  <si>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</si>
  <si>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</si>
  <si>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</si>
  <si>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</si>
  <si>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</si>
  <si>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</si>
  <si>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</si>
  <si>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</si>
  <si>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</si>
  <si>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</si>
  <si>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</si>
  <si>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</si>
  <si>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</si>
  <si>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</si>
  <si>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</si>
  <si>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</si>
  <si>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</si>
  <si>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</si>
  <si>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</si>
  <si>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</si>
  <si>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</si>
  <si>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</si>
  <si>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</si>
  <si>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</si>
  <si>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</si>
  <si>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</si>
  <si>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</si>
  <si>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</si>
  <si>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</si>
  <si>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</si>
  <si>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</si>
  <si>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</si>
  <si>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</si>
  <si>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</si>
  <si>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</si>
  <si>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</si>
  <si>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</si>
  <si>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</si>
  <si>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</si>
  <si>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</si>
  <si>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</si>
  <si>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</si>
  <si>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</si>
  <si>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</si>
  <si>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</si>
  <si>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</si>
  <si>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</si>
  <si>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</si>
  <si>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</si>
  <si>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</si>
  <si>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</si>
  <si>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</si>
  <si>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</si>
  <si>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</si>
  <si>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</si>
  <si>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</si>
  <si>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</si>
  <si>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</si>
  <si>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</si>
  <si>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</si>
  <si>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</si>
  <si>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</si>
  <si>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</si>
  <si>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</si>
  <si>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</si>
  <si>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</si>
  <si>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</si>
  <si>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</si>
  <si>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</si>
  <si>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</si>
  <si>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</si>
  <si>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</si>
  <si>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</si>
  <si>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</si>
  <si>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</si>
  <si>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</si>
  <si>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</si>
  <si>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</si>
  <si>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</si>
  <si>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</si>
  <si>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</si>
  <si>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</si>
  <si>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</si>
  <si>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</si>
  <si>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</si>
  <si>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</si>
  <si>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</si>
  <si>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</si>
  <si>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</si>
  <si>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</si>
  <si>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</si>
  <si>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</si>
  <si>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</si>
  <si>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</si>
  <si>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</si>
  <si>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</si>
  <si>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</si>
  <si>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</si>
  <si>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</si>
  <si>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</si>
  <si>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</si>
  <si>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</si>
  <si>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</si>
  <si>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</si>
  <si>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</si>
  <si>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</si>
  <si>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</si>
  <si>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</si>
  <si>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</si>
  <si>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</si>
  <si>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</si>
  <si>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</si>
  <si>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</si>
  <si>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</si>
  <si>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</si>
  <si>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</si>
  <si>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</si>
  <si>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</si>
  <si>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</si>
  <si>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</si>
  <si>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</si>
  <si>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</si>
  <si>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</si>
  <si>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</si>
  <si>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</si>
  <si>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</si>
  <si>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</si>
  <si>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</si>
  <si>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</si>
  <si>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</si>
  <si>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</si>
  <si>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</si>
  <si>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</si>
  <si>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</si>
  <si>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</si>
  <si>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</si>
  <si>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</si>
  <si>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</si>
  <si>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</si>
  <si>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</si>
  <si>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</si>
  <si>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</si>
  <si>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</si>
  <si>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</si>
  <si>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</si>
  <si>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</si>
  <si>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</si>
  <si>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</si>
  <si>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</si>
  <si>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</si>
  <si>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</si>
  <si>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</si>
  <si>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</si>
  <si>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</si>
  <si>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</si>
  <si>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</si>
  <si>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</si>
  <si>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</si>
  <si>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</si>
  <si>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</si>
  <si>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</si>
  <si>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</si>
  <si>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</si>
  <si>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</si>
  <si>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</si>
  <si>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</si>
  <si>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</si>
  <si>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</si>
  <si>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</si>
  <si>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</si>
  <si>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</si>
  <si>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</si>
  <si>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</si>
  <si>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</si>
  <si>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</si>
  <si>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</si>
  <si>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</si>
  <si>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</si>
  <si>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</si>
  <si>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</si>
  <si>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</si>
  <si>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</si>
  <si>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</si>
  <si>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</si>
  <si>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</si>
  <si>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</si>
  <si>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</si>
  <si>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</si>
  <si>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</si>
  <si>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</si>
  <si>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</si>
  <si>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</si>
  <si>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</si>
  <si>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</si>
  <si>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</si>
  <si>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</si>
  <si>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</si>
  <si>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</si>
  <si>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</si>
  <si>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</si>
  <si>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</si>
  <si>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</si>
  <si>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</si>
  <si>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</si>
  <si>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</si>
  <si>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</si>
  <si>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</si>
  <si>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</si>
  <si>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</si>
  <si>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</si>
  <si>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</si>
  <si>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</si>
  <si>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</si>
  <si>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</si>
  <si>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</si>
  <si>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</si>
  <si>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</si>
  <si>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</si>
  <si>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</si>
  <si>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</si>
  <si>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</si>
  <si>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</si>
  <si>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</si>
  <si>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</si>
  <si>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</si>
  <si>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</si>
  <si>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</si>
  <si>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</si>
  <si>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</si>
  <si>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</si>
  <si>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</si>
  <si>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</si>
  <si>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</si>
  <si>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</si>
  <si>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</si>
  <si>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</si>
  <si>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</si>
  <si>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</si>
  <si>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</si>
  <si>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</si>
  <si>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</si>
  <si>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</si>
  <si>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</si>
  <si>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</si>
  <si>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</si>
  <si>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</si>
  <si>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</si>
  <si>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</si>
  <si>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</si>
  <si>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</si>
  <si>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</si>
  <si>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</si>
  <si>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</si>
  <si>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</si>
  <si>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</si>
  <si>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</si>
  <si>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</si>
  <si>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</si>
  <si>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</si>
  <si>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</si>
  <si>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</si>
  <si>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</si>
  <si>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</si>
  <si>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</si>
  <si>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</si>
  <si>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</si>
  <si>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</si>
  <si>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</si>
  <si>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</si>
  <si>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</si>
  <si>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</si>
  <si>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</si>
  <si>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</si>
  <si>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</si>
  <si>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</si>
  <si>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</si>
  <si>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</si>
  <si>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</si>
  <si>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</si>
  <si>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</si>
  <si>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</si>
  <si>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</si>
  <si>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</si>
  <si>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</si>
  <si>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</si>
  <si>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</si>
  <si>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</si>
  <si>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</si>
  <si>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</si>
  <si>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</si>
  <si>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</si>
  <si>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</si>
  <si>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</si>
  <si>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</si>
  <si>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</si>
  <si>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</si>
  <si>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</si>
  <si>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</si>
  <si>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</si>
  <si>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</si>
  <si>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</si>
  <si>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</si>
  <si>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</si>
  <si>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</si>
  <si>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</si>
  <si>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</si>
  <si>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</si>
  <si>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</si>
  <si>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</si>
  <si>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</si>
  <si>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</si>
  <si>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</si>
  <si>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</si>
  <si>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</si>
  <si>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</si>
  <si>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</si>
  <si>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</si>
  <si>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</si>
  <si>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</si>
  <si>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</si>
  <si>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</si>
  <si>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</si>
  <si>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</si>
  <si>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</si>
  <si>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</si>
  <si>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</si>
  <si>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</si>
  <si>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</si>
  <si>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</si>
  <si>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</si>
  <si>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</si>
  <si>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</si>
  <si>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</si>
  <si>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</si>
  <si>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</si>
  <si>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</si>
  <si>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</si>
  <si>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</si>
  <si>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</si>
  <si>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</si>
  <si>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</si>
  <si>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</si>
  <si>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</si>
  <si>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</si>
  <si>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</si>
  <si>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</si>
  <si>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</si>
  <si>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</si>
  <si>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</si>
  <si>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</si>
  <si>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</si>
  <si>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</si>
  <si>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</si>
  <si>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</si>
  <si>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</si>
  <si>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</si>
  <si>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</si>
  <si>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</si>
  <si>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</si>
  <si>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</si>
  <si>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</si>
  <si>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</si>
  <si>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</si>
  <si>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</si>
  <si>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</si>
  <si>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</si>
  <si>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</si>
  <si>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</si>
  <si>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</si>
  <si>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</si>
  <si>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</si>
  <si>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</si>
  <si>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</si>
  <si>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</si>
  <si>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</si>
  <si>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</si>
  <si>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</si>
  <si>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</si>
  <si>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</si>
  <si>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</si>
  <si>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</si>
  <si>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</si>
  <si>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</si>
  <si>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</si>
  <si>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</si>
  <si>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</si>
  <si>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</si>
  <si>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</si>
  <si>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</si>
  <si>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</si>
  <si>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</si>
  <si>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</si>
  <si>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</si>
  <si>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</si>
  <si>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</si>
  <si>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</si>
  <si>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</si>
  <si>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</si>
  <si>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</si>
  <si>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</si>
  <si>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</si>
  <si>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</si>
  <si>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</si>
  <si>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</si>
  <si>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</si>
  <si>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</si>
  <si>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</si>
  <si>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</si>
  <si>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</si>
  <si>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</si>
  <si>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</si>
  <si>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</si>
  <si>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</si>
  <si>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</si>
  <si>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</si>
  <si>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</si>
  <si>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</si>
  <si>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</si>
  <si>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</si>
  <si>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</si>
  <si>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</si>
  <si>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</si>
  <si>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</si>
  <si>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</si>
  <si>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</si>
  <si>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</si>
  <si>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</si>
  <si>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</si>
  <si>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</si>
  <si>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</si>
  <si>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</si>
  <si>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</si>
  <si>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</si>
  <si>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</si>
  <si>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</si>
  <si>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</si>
  <si>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</si>
  <si>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</si>
  <si>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</si>
  <si>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</si>
  <si>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</si>
  <si>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</si>
  <si>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</si>
  <si>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</si>
  <si>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</si>
  <si>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</si>
  <si>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</si>
  <si>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</si>
  <si>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</si>
  <si>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</si>
  <si>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</si>
  <si>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</si>
  <si>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</si>
  <si>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</si>
  <si>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</si>
  <si>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</si>
  <si>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</si>
  <si>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</si>
  <si>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</si>
  <si>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</si>
  <si>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</si>
  <si>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</si>
  <si>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</si>
  <si>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</si>
  <si>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</si>
  <si>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</si>
  <si>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</si>
  <si>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</si>
  <si>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</si>
  <si>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</si>
  <si>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</si>
  <si>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</si>
  <si>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</si>
  <si>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</si>
  <si>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</si>
  <si>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</si>
  <si>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</si>
  <si>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</si>
  <si>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</si>
  <si>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</si>
  <si>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</si>
  <si>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</si>
  <si>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</si>
  <si>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</si>
  <si>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</si>
  <si>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</si>
  <si>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</si>
  <si>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</si>
  <si>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</si>
  <si>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</si>
  <si>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</si>
  <si>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</si>
  <si>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</si>
  <si>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</si>
  <si>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</si>
  <si>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</si>
  <si>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</si>
  <si>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</si>
  <si>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</si>
  <si>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</si>
  <si>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</si>
  <si>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</si>
  <si>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</si>
  <si>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</si>
  <si>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</si>
  <si>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</si>
  <si>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</si>
  <si>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</si>
  <si>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</si>
  <si>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</si>
  <si>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</si>
  <si>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</si>
  <si>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</si>
  <si>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</si>
  <si>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</si>
  <si>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</si>
  <si>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</si>
  <si>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</si>
  <si>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</si>
  <si>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</si>
  <si>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</si>
  <si>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</si>
  <si>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</si>
  <si>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</si>
  <si>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</si>
  <si>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</si>
  <si>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</si>
  <si>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</si>
  <si>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</si>
  <si>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</si>
  <si>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</si>
  <si>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</si>
  <si>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</si>
  <si>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</si>
  <si>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</si>
  <si>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</si>
  <si>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</si>
  <si>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</si>
  <si>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</si>
  <si>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</si>
  <si>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</si>
  <si>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</si>
  <si>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</si>
  <si>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</si>
  <si>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</si>
  <si>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</si>
  <si>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</si>
  <si>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</si>
  <si>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</si>
  <si>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</si>
  <si>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</si>
  <si>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</si>
  <si>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</si>
  <si>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</si>
  <si>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</si>
  <si>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</si>
  <si>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</si>
  <si>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</si>
  <si>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</si>
  <si>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</si>
  <si>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</si>
  <si>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</si>
  <si>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</si>
  <si>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</si>
  <si>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</si>
  <si>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</si>
  <si>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</si>
  <si>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</si>
  <si>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</si>
  <si>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</si>
  <si>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</si>
  <si>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</si>
  <si>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</si>
  <si>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</si>
  <si>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</si>
  <si>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</si>
  <si>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</si>
  <si>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</si>
  <si>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</si>
  <si>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</si>
  <si>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</si>
  <si>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</si>
  <si>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</si>
  <si>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</si>
  <si>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</si>
  <si>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</si>
  <si>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</si>
  <si>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</si>
  <si>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</si>
  <si>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</si>
  <si>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</si>
  <si>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</si>
  <si>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</si>
  <si>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</si>
  <si>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</si>
  <si>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</si>
  <si>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</si>
  <si>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</si>
  <si>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</si>
  <si>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</si>
  <si>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</si>
  <si>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</si>
  <si>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</si>
  <si>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</si>
  <si>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</si>
  <si>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</si>
  <si>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</si>
  <si>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</si>
  <si>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</si>
  <si>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</si>
  <si>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</si>
  <si>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</si>
  <si>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</si>
  <si>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</si>
  <si>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</si>
  <si>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</si>
  <si>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</si>
  <si>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</si>
  <si>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</si>
  <si>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</si>
  <si>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</si>
  <si>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</si>
  <si>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</si>
  <si>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</si>
  <si>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</si>
  <si>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</si>
  <si>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</si>
  <si>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</si>
  <si>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</si>
  <si>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</si>
  <si>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</si>
  <si>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</si>
  <si>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</si>
  <si>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</si>
  <si>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</si>
  <si>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</si>
  <si>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</si>
  <si>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</si>
  <si>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</si>
  <si>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</si>
  <si>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</si>
  <si>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</si>
  <si>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</si>
  <si>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</si>
  <si>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</si>
  <si>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</si>
  <si>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</si>
  <si>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</si>
  <si>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</si>
  <si>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</si>
  <si>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</si>
  <si>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</si>
  <si>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</si>
  <si>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</si>
  <si>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</si>
  <si>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</si>
  <si>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</si>
  <si>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</si>
  <si>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</si>
  <si>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</si>
  <si>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</si>
  <si>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</si>
  <si>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</si>
  <si>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</si>
  <si>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</si>
  <si>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</si>
  <si>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</si>
  <si>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</si>
  <si>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</si>
  <si>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</si>
  <si>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</si>
  <si>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</si>
  <si>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</si>
  <si>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</si>
  <si>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</si>
  <si>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</si>
  <si>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</si>
  <si>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</si>
  <si>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</si>
  <si>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</si>
  <si>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</si>
  <si>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</si>
  <si>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</si>
  <si>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</si>
  <si>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</si>
  <si>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</si>
  <si>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</si>
  <si>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</si>
  <si>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</si>
  <si>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</si>
  <si>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</si>
  <si>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</si>
  <si>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</si>
  <si>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</si>
  <si>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</si>
  <si>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</si>
  <si>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</si>
  <si>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</si>
  <si>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</si>
  <si>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</si>
  <si>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</si>
  <si>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</si>
  <si>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</si>
  <si>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</si>
  <si>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</si>
  <si>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</si>
  <si>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</si>
  <si>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</si>
  <si>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</si>
  <si>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</si>
  <si>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</si>
  <si>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</si>
  <si>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</si>
  <si>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</si>
  <si>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</si>
  <si>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</si>
  <si>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</si>
  <si>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</si>
  <si>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</si>
  <si>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</si>
  <si>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</si>
  <si>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</si>
  <si>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</si>
  <si>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</si>
  <si>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</si>
  <si>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</si>
  <si>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</si>
  <si>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</si>
  <si>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</si>
  <si>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</si>
  <si>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</si>
  <si>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</si>
  <si>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</si>
  <si>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</si>
  <si>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</si>
  <si>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</si>
  <si>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</si>
  <si>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</si>
  <si>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</si>
  <si>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</si>
  <si>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</si>
  <si>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</si>
  <si>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</si>
  <si>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</si>
  <si>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</si>
  <si>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</si>
  <si>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</si>
  <si>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</si>
  <si>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</si>
  <si>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</si>
  <si>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</si>
  <si>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</si>
  <si>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</si>
  <si>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</si>
  <si>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</si>
  <si>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</si>
  <si>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</si>
  <si>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</si>
  <si>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</si>
  <si>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</si>
  <si>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</si>
  <si>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</si>
  <si>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</si>
  <si>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</si>
  <si>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</si>
  <si>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</si>
  <si>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</si>
  <si>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</si>
  <si>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</si>
  <si>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</si>
  <si>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</si>
  <si>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</si>
  <si>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</si>
  <si>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</si>
  <si>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</si>
  <si>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</si>
  <si>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</si>
  <si>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</si>
  <si>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</si>
  <si>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</si>
  <si>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</si>
  <si>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</si>
  <si>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</si>
  <si>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</si>
  <si>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</si>
  <si>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</si>
  <si>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</si>
  <si>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</si>
  <si>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</si>
  <si>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</si>
  <si>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</si>
  <si>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</si>
  <si>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</si>
  <si>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</si>
  <si>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</si>
  <si>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</si>
  <si>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</si>
  <si>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</si>
  <si>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</si>
  <si>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</si>
  <si>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</si>
  <si>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</si>
  <si>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</si>
  <si>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</si>
  <si>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</si>
  <si>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</si>
  <si>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</si>
  <si>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</si>
  <si>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</si>
  <si>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</si>
  <si>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</si>
  <si>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</si>
  <si>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</si>
  <si>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</si>
  <si>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</si>
  <si>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</si>
  <si>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</si>
  <si>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</si>
  <si>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</si>
  <si>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</si>
  <si>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</si>
  <si>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</si>
  <si>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</si>
  <si>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</si>
  <si>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</si>
  <si>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</si>
  <si>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</si>
  <si>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</si>
  <si>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</si>
  <si>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</si>
  <si>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</si>
  <si>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</si>
  <si>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</si>
  <si>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</si>
  <si>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</si>
  <si>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</si>
  <si>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</si>
  <si>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</si>
  <si>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</si>
  <si>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</si>
  <si>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</si>
  <si>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</si>
  <si>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</si>
  <si>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</si>
  <si>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</si>
  <si>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</si>
  <si>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</si>
  <si>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</si>
  <si>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</si>
  <si>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</si>
  <si>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</si>
  <si>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</si>
  <si>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</si>
  <si>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</si>
  <si>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</si>
  <si>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</si>
  <si>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</si>
  <si>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</si>
  <si>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</si>
  <si>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</si>
  <si>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</si>
  <si>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</si>
  <si>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</si>
  <si>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</si>
  <si>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</si>
  <si>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</si>
  <si>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</si>
  <si>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</si>
  <si>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</si>
  <si>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</si>
  <si>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</si>
  <si>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</si>
  <si>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</si>
  <si>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</si>
  <si>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</si>
  <si>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</si>
  <si>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</si>
  <si>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</si>
  <si>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</si>
  <si>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</si>
  <si>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</si>
  <si>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</si>
  <si>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</si>
  <si>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</si>
  <si>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</si>
  <si>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</si>
  <si>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</si>
  <si>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</si>
  <si>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</si>
  <si>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</si>
  <si>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</si>
  <si>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</si>
  <si>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</si>
  <si>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</si>
  <si>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</si>
  <si>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</si>
  <si>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</si>
  <si>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</si>
  <si>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</si>
  <si>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</si>
  <si>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</si>
  <si>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</si>
  <si>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</si>
  <si>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</si>
  <si>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</si>
  <si>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</si>
  <si>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</si>
  <si>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</si>
  <si>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</si>
  <si>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</si>
  <si>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</si>
  <si>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</si>
  <si>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</si>
  <si>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</si>
  <si>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</si>
  <si>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</si>
  <si>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</si>
  <si>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</si>
  <si>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</si>
  <si>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</si>
  <si>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</si>
  <si>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</si>
  <si>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</si>
  <si>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</si>
  <si>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</si>
  <si>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</si>
  <si>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</si>
  <si>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</si>
  <si>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</si>
  <si>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</si>
  <si>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</si>
  <si>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</si>
  <si>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</si>
  <si>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</si>
  <si>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</si>
  <si>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</si>
  <si>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</si>
  <si>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</si>
  <si>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</si>
  <si>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</si>
  <si>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</si>
  <si>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</si>
  <si>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</si>
  <si>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</si>
  <si>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</si>
  <si>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</si>
  <si>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</si>
  <si>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</si>
  <si>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</si>
  <si>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</si>
  <si>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</si>
  <si>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</si>
  <si>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</si>
  <si>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</si>
  <si>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</si>
  <si>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</si>
  <si>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</si>
  <si>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</si>
  <si>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</si>
  <si>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</si>
  <si>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</si>
  <si>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</si>
  <si>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</si>
  <si>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</si>
  <si>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</si>
  <si>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</si>
  <si>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</si>
  <si>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</si>
  <si>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</si>
  <si>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</si>
  <si>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</si>
  <si>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</si>
  <si>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</si>
  <si>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</si>
  <si>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</si>
  <si>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</si>
  <si>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</si>
  <si>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</si>
  <si>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</si>
  <si>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80-90m</t>
  </si>
  <si>
    <t>100-110m</t>
  </si>
  <si>
    <t>0-5m</t>
  </si>
  <si>
    <t>70-80m</t>
  </si>
  <si>
    <t>0-10m</t>
  </si>
  <si>
    <t>25-30m</t>
  </si>
  <si>
    <t>20-30m</t>
  </si>
  <si>
    <t>Alto-Critico</t>
  </si>
  <si>
    <t>10-20m</t>
  </si>
  <si>
    <t xml:space="preserve">Alto </t>
  </si>
  <si>
    <t>Medio-Bajo</t>
  </si>
  <si>
    <t>+110m</t>
  </si>
  <si>
    <t>15-20m (critico)</t>
  </si>
  <si>
    <t>20-25m (Critico)</t>
  </si>
  <si>
    <t>2570m</t>
  </si>
  <si>
    <t>2530m</t>
  </si>
  <si>
    <t>2710m</t>
  </si>
  <si>
    <t>2670m</t>
  </si>
  <si>
    <t>Comentario</t>
  </si>
  <si>
    <t>Tia Elevado, cajero empotrado</t>
  </si>
  <si>
    <t>Meido</t>
  </si>
  <si>
    <t>Suburbio se inunda todo</t>
  </si>
  <si>
    <t>Se inunda el sector mapa inundaciones</t>
  </si>
  <si>
    <t>Se inunda la calle del sector</t>
  </si>
  <si>
    <t>Dentro del centro comercial</t>
  </si>
  <si>
    <t>El supermercado es bastante elevado</t>
  </si>
  <si>
    <t>El local esta a raz de suelo junto al atm (externo al local)</t>
  </si>
  <si>
    <t>Dentro de C.C.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</si>
</sst>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2" borderId="0" xfId="0" applyFill="1"/>
    <xf numFmtId="9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/Users/jjrodrir/Downloads/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428"/>
  <sheetViews>
    <sheetView tabSelected="1" zoomScaleNormal="100" workbookViewId="0">
      <pane ySplit="1" topLeftCell="A84" activePane="bottomLeft" state="frozen"/>
      <selection pane="bottomLeft" activeCell="D84" sqref="D84"/>
    </sheetView>
  </sheetViews>
  <sheetFormatPr baseColWidth="10" defaultRowHeight="12.75" x14ac:dyDescent="0.2"/>
  <cols>
    <col min="1" max="1" width="15"/>
    <col min="2" max="3" width="46" customWidth="1"/>
    <col min="4" max="4" width="28.42578125" customWidth="1"/>
    <col min="6" max="6" width="12.28515625" customWidth="1"/>
    <col min="7" max="11" width="11.42578125" customWidth="1"/>
    <col min="12" max="12" width="42.140625" customWidth="1"/>
    <col min="13" max="14" width="15"/>
    <col min="16" max="17" width="15"/>
    <col min="18" max="18" width="11.42578125" customWidth="1"/>
    <col min="19" max="19" width="21.28515625" customWidth="1"/>
    <col min="20" max="20" width="11.42578125" customWidth="1"/>
    <col min="21" max="21" width="32.42578125" customWidth="1"/>
    <col min="22" max="22" width="19" customWidth="1"/>
    <col min="23" max="25" width="15"/>
    <col min="26" max="26" width="26.28515625" customWidth="1"/>
    <col min="27" max="31" width="15"/>
    <col min="32" max="32" width="35.5703125" customWidth="1"/>
    <col min="33" max="1031" width="15"/>
  </cols>
  <sheetData>
    <row r="1" spans="1:31" x14ac:dyDescent="0.2">
      <c r="A1" s="1" t="s">
        <v>0</v>
      </c>
      <c r="B1" t="s">
        <v>1</v>
      </c>
      <c r="C1" t="s">
        <v>2022</v>
      </c>
      <c r="D1" t="s">
        <v>22</v>
      </c>
      <c r="E1" t="s">
        <v>1989</v>
      </c>
      <c r="F1" t="s">
        <v>1987</v>
      </c>
      <c r="G1" t="s">
        <v>2</v>
      </c>
      <c r="H1" t="s">
        <v>1969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1896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1923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1921</v>
      </c>
    </row>
    <row r="2" spans="1:31" hidden="1" x14ac:dyDescent="0.2">
      <c r="A2" s="1" t="s">
        <v>1374</v>
      </c>
      <c r="B2" t="s">
        <v>1375</v>
      </c>
      <c r="G2" t="s">
        <v>1376</v>
      </c>
      <c r="H2" t="s">
        <v>153</v>
      </c>
      <c r="I2" t="s">
        <v>26</v>
      </c>
      <c r="J2" t="s">
        <v>2</v>
      </c>
      <c r="K2" t="s">
        <v>159</v>
      </c>
      <c r="L2" t="s">
        <v>28</v>
      </c>
      <c r="M2" t="s">
        <v>29</v>
      </c>
      <c r="N2" t="str">
        <f>+VLOOKUP(A2,[1]Buscador!$B:$E,4,0)</f>
        <v>Cuenca</v>
      </c>
      <c r="O2" t="str">
        <f>+VLOOKUP(A2,[1]Buscador!$B:$F,5,0)</f>
        <v>Azuay</v>
      </c>
      <c r="P2" t="s">
        <v>31</v>
      </c>
      <c r="S2" t="s">
        <v>32</v>
      </c>
      <c r="T2" t="s">
        <v>33</v>
      </c>
      <c r="U2" t="s">
        <v>1229</v>
      </c>
      <c r="V2" t="s">
        <v>153</v>
      </c>
      <c r="W2" t="s">
        <v>1377</v>
      </c>
      <c r="X2" t="s">
        <v>1378</v>
      </c>
      <c r="Y2" t="s">
        <v>1379</v>
      </c>
      <c r="Z2" t="s">
        <v>1380</v>
      </c>
      <c r="AA2">
        <v>-2.8980204687</v>
      </c>
      <c r="AB2">
        <v>-79.002912304000006</v>
      </c>
      <c r="AC2">
        <v>0</v>
      </c>
      <c r="AD2">
        <f>+VLOOKUP(L2,Evalua!$G$2:$H$12,2,0)</f>
        <v>1</v>
      </c>
      <c r="AE2">
        <f>+VLOOKUP(M2,Evalua!$G$2:$H$12,2,0)</f>
        <v>2</v>
      </c>
    </row>
    <row r="3" spans="1:31" hidden="1" x14ac:dyDescent="0.2">
      <c r="A3" s="1" t="s">
        <v>1811</v>
      </c>
      <c r="B3" t="s">
        <v>1812</v>
      </c>
      <c r="D3" t="s">
        <v>2011</v>
      </c>
      <c r="E3" t="s">
        <v>2008</v>
      </c>
      <c r="G3" t="s">
        <v>1685</v>
      </c>
      <c r="H3" t="s">
        <v>153</v>
      </c>
      <c r="I3" t="s">
        <v>26</v>
      </c>
      <c r="J3" t="s">
        <v>2</v>
      </c>
      <c r="K3" t="s">
        <v>46</v>
      </c>
      <c r="L3" t="s">
        <v>28</v>
      </c>
      <c r="M3" t="s">
        <v>29</v>
      </c>
      <c r="N3" t="str">
        <f>+VLOOKUP(A3,[1]Buscador!$B:$E,4,0)</f>
        <v>Posorja</v>
      </c>
      <c r="O3" t="str">
        <f>+VLOOKUP(A3,[1]Buscador!$B:$F,5,0)</f>
        <v>Guayas</v>
      </c>
      <c r="P3" t="s">
        <v>31</v>
      </c>
      <c r="S3" t="s">
        <v>32</v>
      </c>
      <c r="T3" t="s">
        <v>33</v>
      </c>
      <c r="U3" t="s">
        <v>1518</v>
      </c>
      <c r="V3" t="s">
        <v>153</v>
      </c>
      <c r="X3" t="s">
        <v>1813</v>
      </c>
      <c r="Z3" t="s">
        <v>1959</v>
      </c>
      <c r="AA3">
        <v>-2.6981972431688002</v>
      </c>
      <c r="AB3">
        <v>-80.248583733184006</v>
      </c>
      <c r="AC3">
        <v>0</v>
      </c>
      <c r="AD3">
        <f>+VLOOKUP(L3,Evalua!$G$2:$H$12,2,0)</f>
        <v>1</v>
      </c>
      <c r="AE3">
        <f>+VLOOKUP(M3,Evalua!$G$2:$H$12,2,0)</f>
        <v>2</v>
      </c>
    </row>
    <row r="4" spans="1:31" hidden="1" x14ac:dyDescent="0.2">
      <c r="A4" s="1" t="s">
        <v>303</v>
      </c>
      <c r="B4" t="s">
        <v>247</v>
      </c>
      <c r="D4" t="s">
        <v>2003</v>
      </c>
      <c r="E4" t="s">
        <v>1998</v>
      </c>
      <c r="G4" t="s">
        <v>98</v>
      </c>
      <c r="H4" t="s">
        <v>153</v>
      </c>
      <c r="I4" t="s">
        <v>26</v>
      </c>
      <c r="J4" t="s">
        <v>99</v>
      </c>
      <c r="K4" t="s">
        <v>46</v>
      </c>
      <c r="L4" t="s">
        <v>28</v>
      </c>
      <c r="M4" t="s">
        <v>29</v>
      </c>
      <c r="N4" t="str">
        <f>+VLOOKUP(A4,[1]Buscador!$B:$E,4,0)</f>
        <v>Milagro</v>
      </c>
      <c r="O4" t="str">
        <f>+VLOOKUP(A4,[1]Buscador!$B:$F,5,0)</f>
        <v>Guayas</v>
      </c>
      <c r="P4" t="s">
        <v>31</v>
      </c>
      <c r="S4" t="s">
        <v>32</v>
      </c>
      <c r="T4" t="s">
        <v>33</v>
      </c>
      <c r="U4" t="s">
        <v>247</v>
      </c>
      <c r="V4" t="s">
        <v>153</v>
      </c>
      <c r="W4" t="s">
        <v>305</v>
      </c>
      <c r="X4" t="s">
        <v>306</v>
      </c>
      <c r="Y4" t="s">
        <v>307</v>
      </c>
      <c r="Z4" t="s">
        <v>308</v>
      </c>
      <c r="AA4">
        <v>-2.1364964621000002</v>
      </c>
      <c r="AB4">
        <v>-79.594431549600003</v>
      </c>
      <c r="AC4">
        <v>0</v>
      </c>
      <c r="AD4">
        <f>+VLOOKUP(L4,Evalua!$G$2:$H$12,2,0)</f>
        <v>1</v>
      </c>
      <c r="AE4">
        <f>+VLOOKUP(M4,Evalua!$G$2:$H$12,2,0)</f>
        <v>2</v>
      </c>
    </row>
    <row r="5" spans="1:31" hidden="1" x14ac:dyDescent="0.2">
      <c r="A5" s="1" t="s">
        <v>1212</v>
      </c>
      <c r="B5" t="s">
        <v>1158</v>
      </c>
      <c r="G5" t="s">
        <v>98</v>
      </c>
      <c r="H5" t="s">
        <v>153</v>
      </c>
      <c r="I5" t="s">
        <v>26</v>
      </c>
      <c r="J5" t="s">
        <v>99</v>
      </c>
      <c r="K5" t="s">
        <v>27</v>
      </c>
      <c r="L5" t="s">
        <v>28</v>
      </c>
      <c r="M5" t="s">
        <v>29</v>
      </c>
      <c r="N5" t="str">
        <f>+VLOOKUP(A5,[1]Buscador!$B:$E,4,0)</f>
        <v>Cumbaya</v>
      </c>
      <c r="O5" t="str">
        <f>+VLOOKUP(A5,[1]Buscador!$B:$F,5,0)</f>
        <v>Pichincha</v>
      </c>
      <c r="P5" t="s">
        <v>31</v>
      </c>
      <c r="S5" t="s">
        <v>32</v>
      </c>
      <c r="T5" t="s">
        <v>33</v>
      </c>
      <c r="U5" t="s">
        <v>1158</v>
      </c>
      <c r="V5" t="s">
        <v>153</v>
      </c>
      <c r="W5" t="s">
        <v>1213</v>
      </c>
      <c r="X5" t="s">
        <v>1214</v>
      </c>
      <c r="Y5" t="s">
        <v>1215</v>
      </c>
      <c r="Z5" t="s">
        <v>1216</v>
      </c>
      <c r="AA5">
        <v>-0.19676299999999999</v>
      </c>
      <c r="AB5">
        <v>-78.435912999999999</v>
      </c>
      <c r="AC5">
        <v>0</v>
      </c>
      <c r="AD5">
        <f>+VLOOKUP(L5,Evalua!$G$2:$H$12,2,0)</f>
        <v>1</v>
      </c>
      <c r="AE5">
        <f>+VLOOKUP(M5,Evalua!$G$2:$H$12,2,0)</f>
        <v>2</v>
      </c>
    </row>
    <row r="6" spans="1:31" hidden="1" x14ac:dyDescent="0.2">
      <c r="A6" s="1" t="s">
        <v>1401</v>
      </c>
      <c r="B6" t="s">
        <v>1402</v>
      </c>
      <c r="D6" t="s">
        <v>1996</v>
      </c>
      <c r="E6" t="s">
        <v>1999</v>
      </c>
      <c r="G6" t="s">
        <v>1403</v>
      </c>
      <c r="H6" t="s">
        <v>153</v>
      </c>
      <c r="I6" t="s">
        <v>26</v>
      </c>
      <c r="J6" t="s">
        <v>2</v>
      </c>
      <c r="K6" t="s">
        <v>194</v>
      </c>
      <c r="L6" t="s">
        <v>28</v>
      </c>
      <c r="M6" t="s">
        <v>234</v>
      </c>
      <c r="N6" t="str">
        <f>+VLOOKUP(A6,[1]Buscador!$B:$E,4,0)</f>
        <v>El Carmen</v>
      </c>
      <c r="O6" t="str">
        <f>+VLOOKUP(A6,[1]Buscador!$B:$F,5,0)</f>
        <v>Manabí</v>
      </c>
      <c r="P6" t="s">
        <v>31</v>
      </c>
      <c r="S6" t="s">
        <v>729</v>
      </c>
      <c r="T6" t="s">
        <v>730</v>
      </c>
      <c r="U6" t="s">
        <v>1245</v>
      </c>
      <c r="V6" t="s">
        <v>153</v>
      </c>
      <c r="W6" t="s">
        <v>1404</v>
      </c>
      <c r="X6" t="s">
        <v>1405</v>
      </c>
      <c r="Y6" t="s">
        <v>1406</v>
      </c>
      <c r="Z6" t="s">
        <v>1407</v>
      </c>
      <c r="AA6">
        <v>-0.27234110220000002</v>
      </c>
      <c r="AB6">
        <v>-79.462855468200004</v>
      </c>
      <c r="AC6">
        <v>0</v>
      </c>
      <c r="AD6">
        <f>+VLOOKUP(L6,Evalua!$G$2:$H$12,2,0)</f>
        <v>1</v>
      </c>
      <c r="AE6">
        <f>+VLOOKUP(M6,Evalua!$G$2:$H$12,2,0)</f>
        <v>3</v>
      </c>
    </row>
    <row r="7" spans="1:31" hidden="1" x14ac:dyDescent="0.2">
      <c r="A7" s="1" t="s">
        <v>603</v>
      </c>
      <c r="B7" t="s">
        <v>548</v>
      </c>
      <c r="D7" t="s">
        <v>1996</v>
      </c>
      <c r="E7" s="3" t="s">
        <v>1997</v>
      </c>
      <c r="G7" t="s">
        <v>98</v>
      </c>
      <c r="H7" t="s">
        <v>153</v>
      </c>
      <c r="I7" t="s">
        <v>26</v>
      </c>
      <c r="J7" t="s">
        <v>99</v>
      </c>
      <c r="K7" t="s">
        <v>46</v>
      </c>
      <c r="L7" t="s">
        <v>81</v>
      </c>
      <c r="M7" t="s">
        <v>234</v>
      </c>
      <c r="N7" t="str">
        <f>+VLOOKUP(A7,[1]Buscador!$B:$E,4,0)</f>
        <v>Guayaquil</v>
      </c>
      <c r="O7" t="str">
        <f>+VLOOKUP(A7,[1]Buscador!$B:$F,5,0)</f>
        <v>Guayas</v>
      </c>
      <c r="P7" t="s">
        <v>31</v>
      </c>
      <c r="S7" t="s">
        <v>235</v>
      </c>
      <c r="T7" t="s">
        <v>33</v>
      </c>
      <c r="U7" t="s">
        <v>548</v>
      </c>
      <c r="V7" t="s">
        <v>153</v>
      </c>
      <c r="W7" t="s">
        <v>604</v>
      </c>
      <c r="X7" t="s">
        <v>605</v>
      </c>
      <c r="Y7" t="s">
        <v>606</v>
      </c>
      <c r="Z7" t="s">
        <v>607</v>
      </c>
      <c r="AA7">
        <v>-2.1593596393999999</v>
      </c>
      <c r="AB7">
        <v>-79.927935822099997</v>
      </c>
      <c r="AC7">
        <v>0</v>
      </c>
      <c r="AD7">
        <f>+VLOOKUP(L7,Evalua!$G$2:$H$12,2,0)</f>
        <v>3</v>
      </c>
      <c r="AE7">
        <f>+VLOOKUP(M7,Evalua!$G$2:$H$12,2,0)</f>
        <v>3</v>
      </c>
    </row>
    <row r="8" spans="1:31" hidden="1" x14ac:dyDescent="0.2">
      <c r="A8" s="1" t="s">
        <v>1693</v>
      </c>
      <c r="B8" t="s">
        <v>1694</v>
      </c>
      <c r="D8" t="s">
        <v>2003</v>
      </c>
      <c r="E8" t="s">
        <v>1997</v>
      </c>
      <c r="G8" t="s">
        <v>1691</v>
      </c>
      <c r="H8" t="s">
        <v>153</v>
      </c>
      <c r="I8" t="s">
        <v>26</v>
      </c>
      <c r="J8" t="s">
        <v>2</v>
      </c>
      <c r="K8" t="s">
        <v>46</v>
      </c>
      <c r="L8" t="s">
        <v>28</v>
      </c>
      <c r="M8" t="s">
        <v>29</v>
      </c>
      <c r="N8" t="str">
        <f>+VLOOKUP(A8,[1]Buscador!$B:$E,4,0)</f>
        <v>Guayaquil</v>
      </c>
      <c r="O8" t="str">
        <f>+VLOOKUP(A8,[1]Buscador!$B:$F,5,0)</f>
        <v>Guayas</v>
      </c>
      <c r="P8" t="s">
        <v>31</v>
      </c>
      <c r="S8" t="s">
        <v>32</v>
      </c>
      <c r="T8" t="s">
        <v>33</v>
      </c>
      <c r="U8" t="s">
        <v>1420</v>
      </c>
      <c r="V8" t="s">
        <v>153</v>
      </c>
      <c r="X8" t="s">
        <v>1695</v>
      </c>
      <c r="Z8" t="s">
        <v>1941</v>
      </c>
      <c r="AA8">
        <v>-2.1711770000000001</v>
      </c>
      <c r="AB8">
        <v>-79.900566999999995</v>
      </c>
      <c r="AC8">
        <v>0</v>
      </c>
      <c r="AD8">
        <f>+VLOOKUP(L8,Evalua!$G$2:$H$12,2,0)</f>
        <v>1</v>
      </c>
      <c r="AE8">
        <f>+VLOOKUP(M8,Evalua!$G$2:$H$12,2,0)</f>
        <v>2</v>
      </c>
    </row>
    <row r="9" spans="1:31" hidden="1" x14ac:dyDescent="0.2">
      <c r="A9" s="1" t="s">
        <v>255</v>
      </c>
      <c r="B9" t="s">
        <v>196</v>
      </c>
      <c r="E9" s="3" t="s">
        <v>1998</v>
      </c>
      <c r="G9" t="s">
        <v>98</v>
      </c>
      <c r="H9" t="s">
        <v>153</v>
      </c>
      <c r="I9" t="s">
        <v>26</v>
      </c>
      <c r="J9" t="s">
        <v>99</v>
      </c>
      <c r="K9" t="s">
        <v>46</v>
      </c>
      <c r="L9" t="s">
        <v>28</v>
      </c>
      <c r="M9" t="s">
        <v>29</v>
      </c>
      <c r="N9" t="str">
        <f>+VLOOKUP(A9,[1]Buscador!$B:$E,4,0)</f>
        <v>Guayaquil</v>
      </c>
      <c r="O9" t="str">
        <f>+VLOOKUP(A9,[1]Buscador!$B:$F,5,0)</f>
        <v>Guayas</v>
      </c>
      <c r="P9" t="s">
        <v>31</v>
      </c>
      <c r="S9" t="s">
        <v>32</v>
      </c>
      <c r="T9" t="s">
        <v>33</v>
      </c>
      <c r="U9" t="s">
        <v>196</v>
      </c>
      <c r="V9" t="s">
        <v>153</v>
      </c>
      <c r="W9" t="s">
        <v>256</v>
      </c>
      <c r="X9" t="s">
        <v>257</v>
      </c>
      <c r="Y9" t="s">
        <v>258</v>
      </c>
      <c r="Z9" t="s">
        <v>259</v>
      </c>
      <c r="AA9">
        <v>-2.1770491363</v>
      </c>
      <c r="AB9">
        <v>-79.883544288400003</v>
      </c>
      <c r="AC9">
        <v>0</v>
      </c>
      <c r="AD9">
        <f>+VLOOKUP(L9,Evalua!$G$2:$H$12,2,0)</f>
        <v>1</v>
      </c>
      <c r="AE9">
        <f>+VLOOKUP(M9,Evalua!$G$2:$H$12,2,0)</f>
        <v>2</v>
      </c>
    </row>
    <row r="10" spans="1:31" hidden="1" x14ac:dyDescent="0.2">
      <c r="A10" s="1" t="s">
        <v>1763</v>
      </c>
      <c r="B10" t="s">
        <v>1764</v>
      </c>
      <c r="G10" t="s">
        <v>1765</v>
      </c>
      <c r="H10" t="s">
        <v>153</v>
      </c>
      <c r="I10" t="s">
        <v>26</v>
      </c>
      <c r="J10" t="s">
        <v>2</v>
      </c>
      <c r="K10" t="s">
        <v>27</v>
      </c>
      <c r="L10" t="s">
        <v>28</v>
      </c>
      <c r="M10" t="s">
        <v>29</v>
      </c>
      <c r="N10" t="str">
        <f>+VLOOKUP(A10,[1]Buscador!$B:$E,4,0)</f>
        <v>Quito</v>
      </c>
      <c r="O10" t="str">
        <f>+VLOOKUP(A10,[1]Buscador!$B:$F,5,0)</f>
        <v>Pichincha</v>
      </c>
      <c r="P10" t="s">
        <v>31</v>
      </c>
      <c r="S10" t="s">
        <v>32</v>
      </c>
      <c r="T10" t="s">
        <v>33</v>
      </c>
      <c r="U10" t="s">
        <v>1481</v>
      </c>
      <c r="V10" t="s">
        <v>153</v>
      </c>
      <c r="X10" t="s">
        <v>1766</v>
      </c>
      <c r="Z10" t="s">
        <v>1953</v>
      </c>
      <c r="AA10">
        <v>-0.17596927121457001</v>
      </c>
      <c r="AB10">
        <v>-78.482782898148002</v>
      </c>
      <c r="AC10">
        <v>0</v>
      </c>
      <c r="AD10">
        <f>+VLOOKUP(L10,Evalua!$G$2:$H$12,2,0)</f>
        <v>1</v>
      </c>
      <c r="AE10">
        <f>+VLOOKUP(M10,Evalua!$G$2:$H$12,2,0)</f>
        <v>2</v>
      </c>
    </row>
    <row r="11" spans="1:31" hidden="1" x14ac:dyDescent="0.2">
      <c r="A11" s="1" t="s">
        <v>1663</v>
      </c>
      <c r="B11" t="s">
        <v>1664</v>
      </c>
      <c r="D11" t="s">
        <v>2013</v>
      </c>
      <c r="E11" t="s">
        <v>2012</v>
      </c>
      <c r="G11" t="s">
        <v>1398</v>
      </c>
      <c r="H11" t="s">
        <v>153</v>
      </c>
      <c r="I11" t="s">
        <v>26</v>
      </c>
      <c r="J11" t="s">
        <v>2</v>
      </c>
      <c r="K11" t="s">
        <v>46</v>
      </c>
      <c r="L11" t="s">
        <v>81</v>
      </c>
      <c r="M11" t="s">
        <v>234</v>
      </c>
      <c r="N11" t="str">
        <f>+VLOOKUP(A11,[1]Buscador!$B:$E,4,0)</f>
        <v>Guayaquil</v>
      </c>
      <c r="O11" t="str">
        <f>+VLOOKUP(A11,[1]Buscador!$B:$F,5,0)</f>
        <v>Guayas</v>
      </c>
      <c r="P11" t="s">
        <v>31</v>
      </c>
      <c r="S11" t="s">
        <v>235</v>
      </c>
      <c r="T11" t="s">
        <v>33</v>
      </c>
      <c r="U11" t="s">
        <v>1398</v>
      </c>
      <c r="V11" t="s">
        <v>153</v>
      </c>
      <c r="X11" t="s">
        <v>1665</v>
      </c>
      <c r="Z11" t="s">
        <v>1937</v>
      </c>
      <c r="AA11">
        <v>-2.0986220000000002</v>
      </c>
      <c r="AB11">
        <v>-79.936397999999997</v>
      </c>
      <c r="AC11">
        <v>0</v>
      </c>
      <c r="AD11">
        <f>+VLOOKUP(L11,Evalua!$G$2:$H$12,2,0)</f>
        <v>3</v>
      </c>
      <c r="AE11">
        <f>+VLOOKUP(M11,Evalua!$G$2:$H$12,2,0)</f>
        <v>3</v>
      </c>
    </row>
    <row r="12" spans="1:31" hidden="1" x14ac:dyDescent="0.2">
      <c r="A12" s="1" t="s">
        <v>1826</v>
      </c>
      <c r="B12" t="s">
        <v>1827</v>
      </c>
      <c r="D12" t="s">
        <v>2003</v>
      </c>
      <c r="E12" t="s">
        <v>1997</v>
      </c>
      <c r="G12" t="s">
        <v>1824</v>
      </c>
      <c r="H12" t="s">
        <v>153</v>
      </c>
      <c r="I12" t="s">
        <v>26</v>
      </c>
      <c r="J12" t="s">
        <v>2</v>
      </c>
      <c r="K12" t="s">
        <v>46</v>
      </c>
      <c r="L12" t="s">
        <v>28</v>
      </c>
      <c r="M12" t="s">
        <v>29</v>
      </c>
      <c r="N12" t="str">
        <f>+VLOOKUP(A12,[1]Buscador!$B:$E,4,0)</f>
        <v>Guayaquil</v>
      </c>
      <c r="O12" t="str">
        <f>+VLOOKUP(A12,[1]Buscador!$B:$F,5,0)</f>
        <v>Guayas</v>
      </c>
      <c r="P12" t="s">
        <v>31</v>
      </c>
      <c r="S12" t="s">
        <v>32</v>
      </c>
      <c r="T12" t="s">
        <v>33</v>
      </c>
      <c r="U12" t="s">
        <v>1529</v>
      </c>
      <c r="V12" t="s">
        <v>153</v>
      </c>
      <c r="X12" t="s">
        <v>1828</v>
      </c>
      <c r="Z12" t="s">
        <v>1960</v>
      </c>
      <c r="AA12">
        <v>-2.1694677273971998</v>
      </c>
      <c r="AB12">
        <v>-79.898525228330001</v>
      </c>
      <c r="AC12">
        <v>0</v>
      </c>
      <c r="AD12">
        <f>+VLOOKUP(L12,Evalua!$G$2:$H$12,2,0)</f>
        <v>1</v>
      </c>
      <c r="AE12">
        <f>+VLOOKUP(M12,Evalua!$G$2:$H$12,2,0)</f>
        <v>2</v>
      </c>
    </row>
    <row r="13" spans="1:31" hidden="1" x14ac:dyDescent="0.2">
      <c r="A13" s="1" t="s">
        <v>1035</v>
      </c>
      <c r="B13" t="s">
        <v>978</v>
      </c>
      <c r="D13" t="s">
        <v>2003</v>
      </c>
      <c r="E13" s="3" t="s">
        <v>2006</v>
      </c>
      <c r="G13" t="s">
        <v>98</v>
      </c>
      <c r="H13" t="s">
        <v>153</v>
      </c>
      <c r="I13" t="s">
        <v>26</v>
      </c>
      <c r="J13" t="s">
        <v>99</v>
      </c>
      <c r="K13" t="s">
        <v>46</v>
      </c>
      <c r="L13" t="s">
        <v>28</v>
      </c>
      <c r="M13" t="s">
        <v>29</v>
      </c>
      <c r="N13" t="str">
        <f>+VLOOKUP(A13,[1]Buscador!$B:$E,4,0)</f>
        <v>Guayaquil</v>
      </c>
      <c r="O13" t="str">
        <f>+VLOOKUP(A13,[1]Buscador!$B:$F,5,0)</f>
        <v>Guayas</v>
      </c>
      <c r="P13" t="s">
        <v>31</v>
      </c>
      <c r="S13" t="s">
        <v>32</v>
      </c>
      <c r="T13" t="s">
        <v>33</v>
      </c>
      <c r="U13" t="s">
        <v>978</v>
      </c>
      <c r="V13" t="s">
        <v>153</v>
      </c>
      <c r="W13" t="s">
        <v>1036</v>
      </c>
      <c r="X13" t="s">
        <v>1037</v>
      </c>
      <c r="Y13" t="s">
        <v>1038</v>
      </c>
      <c r="Z13" t="s">
        <v>1039</v>
      </c>
      <c r="AA13">
        <v>-2.1983796230000001</v>
      </c>
      <c r="AB13">
        <v>-79.884574652699996</v>
      </c>
      <c r="AC13">
        <v>0</v>
      </c>
      <c r="AD13">
        <f>+VLOOKUP(L13,Evalua!$G$2:$H$12,2,0)</f>
        <v>1</v>
      </c>
      <c r="AE13">
        <f>+VLOOKUP(M13,Evalua!$G$2:$H$12,2,0)</f>
        <v>2</v>
      </c>
    </row>
    <row r="14" spans="1:31" hidden="1" x14ac:dyDescent="0.2">
      <c r="A14" s="1" t="s">
        <v>443</v>
      </c>
      <c r="B14" t="s">
        <v>387</v>
      </c>
      <c r="E14" s="3" t="s">
        <v>1997</v>
      </c>
      <c r="G14" t="s">
        <v>98</v>
      </c>
      <c r="H14" t="s">
        <v>153</v>
      </c>
      <c r="I14" t="s">
        <v>26</v>
      </c>
      <c r="J14" t="s">
        <v>99</v>
      </c>
      <c r="K14" t="s">
        <v>46</v>
      </c>
      <c r="L14" t="s">
        <v>28</v>
      </c>
      <c r="M14" t="s">
        <v>29</v>
      </c>
      <c r="N14" t="str">
        <f>+VLOOKUP(A14,[1]Buscador!$B:$E,4,0)</f>
        <v>Guayaquil</v>
      </c>
      <c r="O14" t="str">
        <f>+VLOOKUP(A14,[1]Buscador!$B:$F,5,0)</f>
        <v>Guayas</v>
      </c>
      <c r="P14" t="s">
        <v>153</v>
      </c>
      <c r="S14" t="s">
        <v>32</v>
      </c>
      <c r="T14" t="s">
        <v>33</v>
      </c>
      <c r="U14" t="s">
        <v>387</v>
      </c>
      <c r="V14" t="s">
        <v>153</v>
      </c>
      <c r="W14" t="s">
        <v>444</v>
      </c>
      <c r="X14" t="s">
        <v>445</v>
      </c>
      <c r="Y14" t="s">
        <v>446</v>
      </c>
      <c r="Z14" t="s">
        <v>447</v>
      </c>
      <c r="AA14">
        <v>-2.186439</v>
      </c>
      <c r="AB14">
        <v>-79.88382</v>
      </c>
      <c r="AC14">
        <v>0</v>
      </c>
      <c r="AD14">
        <f>+VLOOKUP(L14,Evalua!$G$2:$H$12,2,0)</f>
        <v>1</v>
      </c>
      <c r="AE14">
        <f>+VLOOKUP(M14,Evalua!$G$2:$H$12,2,0)</f>
        <v>2</v>
      </c>
    </row>
    <row r="15" spans="1:31" hidden="1" x14ac:dyDescent="0.2">
      <c r="A15" s="1" t="s">
        <v>593</v>
      </c>
      <c r="B15" t="s">
        <v>538</v>
      </c>
      <c r="E15" s="3" t="s">
        <v>1998</v>
      </c>
      <c r="G15" t="s">
        <v>98</v>
      </c>
      <c r="H15" t="s">
        <v>153</v>
      </c>
      <c r="I15" t="s">
        <v>26</v>
      </c>
      <c r="J15" t="s">
        <v>99</v>
      </c>
      <c r="K15" t="s">
        <v>46</v>
      </c>
      <c r="L15" t="s">
        <v>28</v>
      </c>
      <c r="M15" t="s">
        <v>29</v>
      </c>
      <c r="N15" t="str">
        <f>+VLOOKUP(A15,[1]Buscador!$B:$E,4,0)</f>
        <v>Guayaquil</v>
      </c>
      <c r="O15" t="str">
        <f>+VLOOKUP(A15,[1]Buscador!$B:$F,5,0)</f>
        <v>Guayas</v>
      </c>
      <c r="P15" t="s">
        <v>31</v>
      </c>
      <c r="S15" t="s">
        <v>32</v>
      </c>
      <c r="T15" t="s">
        <v>33</v>
      </c>
      <c r="U15" t="s">
        <v>538</v>
      </c>
      <c r="V15" t="s">
        <v>153</v>
      </c>
      <c r="W15" t="s">
        <v>594</v>
      </c>
      <c r="X15" t="s">
        <v>595</v>
      </c>
      <c r="Y15" t="s">
        <v>596</v>
      </c>
      <c r="Z15" t="s">
        <v>597</v>
      </c>
      <c r="AA15">
        <v>-2.1707506252000002</v>
      </c>
      <c r="AB15">
        <v>-79.916886046599998</v>
      </c>
      <c r="AC15">
        <v>0</v>
      </c>
      <c r="AD15">
        <f>+VLOOKUP(L15,Evalua!$G$2:$H$12,2,0)</f>
        <v>1</v>
      </c>
      <c r="AE15">
        <f>+VLOOKUP(M15,Evalua!$G$2:$H$12,2,0)</f>
        <v>2</v>
      </c>
    </row>
    <row r="16" spans="1:31" hidden="1" x14ac:dyDescent="0.2">
      <c r="A16" s="1" t="s">
        <v>1767</v>
      </c>
      <c r="B16" t="s">
        <v>1768</v>
      </c>
      <c r="G16" t="s">
        <v>1765</v>
      </c>
      <c r="H16" t="s">
        <v>153</v>
      </c>
      <c r="I16" t="s">
        <v>26</v>
      </c>
      <c r="J16" t="s">
        <v>2</v>
      </c>
      <c r="K16" t="s">
        <v>27</v>
      </c>
      <c r="L16" t="s">
        <v>28</v>
      </c>
      <c r="M16" t="s">
        <v>29</v>
      </c>
      <c r="N16" t="str">
        <f>+VLOOKUP(A16,[1]Buscador!$B:$E,4,0)</f>
        <v>Quito</v>
      </c>
      <c r="O16" t="str">
        <f>+VLOOKUP(A16,[1]Buscador!$B:$F,5,0)</f>
        <v>Pichincha</v>
      </c>
      <c r="P16" t="s">
        <v>31</v>
      </c>
      <c r="S16" t="s">
        <v>32</v>
      </c>
      <c r="T16" t="s">
        <v>33</v>
      </c>
      <c r="U16" t="s">
        <v>1481</v>
      </c>
      <c r="V16" t="s">
        <v>153</v>
      </c>
      <c r="X16" t="s">
        <v>1769</v>
      </c>
      <c r="Z16" t="s">
        <v>1953</v>
      </c>
      <c r="AA16">
        <v>-0.17596927121457001</v>
      </c>
      <c r="AB16">
        <v>-78.482782898148002</v>
      </c>
      <c r="AC16">
        <v>0</v>
      </c>
      <c r="AD16">
        <f>+VLOOKUP(L16,Evalua!$G$2:$H$12,2,0)</f>
        <v>1</v>
      </c>
      <c r="AE16">
        <f>+VLOOKUP(M16,Evalua!$G$2:$H$12,2,0)</f>
        <v>2</v>
      </c>
    </row>
    <row r="17" spans="1:31" hidden="1" x14ac:dyDescent="0.2">
      <c r="A17" s="1" t="s">
        <v>801</v>
      </c>
      <c r="B17" t="s">
        <v>746</v>
      </c>
      <c r="C17" t="s">
        <v>2027</v>
      </c>
      <c r="D17" t="s">
        <v>1995</v>
      </c>
      <c r="E17" s="3" t="s">
        <v>1997</v>
      </c>
      <c r="G17" t="s">
        <v>98</v>
      </c>
      <c r="H17" t="s">
        <v>153</v>
      </c>
      <c r="I17" t="s">
        <v>26</v>
      </c>
      <c r="J17" t="s">
        <v>99</v>
      </c>
      <c r="K17" t="s">
        <v>46</v>
      </c>
      <c r="L17" t="s">
        <v>28</v>
      </c>
      <c r="M17" t="s">
        <v>29</v>
      </c>
      <c r="N17" t="str">
        <f>+VLOOKUP(A17,[1]Buscador!$B:$E,4,0)</f>
        <v>Guayaquil</v>
      </c>
      <c r="O17" t="str">
        <f>+VLOOKUP(A17,[1]Buscador!$B:$F,5,0)</f>
        <v>Guayas</v>
      </c>
      <c r="P17" t="s">
        <v>153</v>
      </c>
      <c r="S17" t="s">
        <v>32</v>
      </c>
      <c r="T17" t="s">
        <v>33</v>
      </c>
      <c r="U17" t="s">
        <v>746</v>
      </c>
      <c r="V17" t="s">
        <v>153</v>
      </c>
      <c r="W17" t="s">
        <v>802</v>
      </c>
      <c r="X17" t="s">
        <v>803</v>
      </c>
      <c r="Y17" t="s">
        <v>804</v>
      </c>
      <c r="Z17" t="s">
        <v>805</v>
      </c>
      <c r="AA17">
        <v>-2.2016875712999999</v>
      </c>
      <c r="AB17">
        <v>-79.916651315099998</v>
      </c>
      <c r="AC17">
        <v>0</v>
      </c>
      <c r="AD17">
        <f>+VLOOKUP(L17,Evalua!$G$2:$H$12,2,0)</f>
        <v>1</v>
      </c>
      <c r="AE17">
        <f>+VLOOKUP(M17,Evalua!$G$2:$H$12,2,0)</f>
        <v>2</v>
      </c>
    </row>
    <row r="18" spans="1:31" hidden="1" x14ac:dyDescent="0.2">
      <c r="A18" s="1" t="s">
        <v>1147</v>
      </c>
      <c r="B18" t="s">
        <v>1092</v>
      </c>
      <c r="E18" t="s">
        <v>1992</v>
      </c>
      <c r="G18" t="s">
        <v>98</v>
      </c>
      <c r="H18" t="s">
        <v>153</v>
      </c>
      <c r="I18" t="s">
        <v>26</v>
      </c>
      <c r="J18" t="s">
        <v>99</v>
      </c>
      <c r="K18" t="s">
        <v>46</v>
      </c>
      <c r="L18" t="s">
        <v>28</v>
      </c>
      <c r="M18" t="s">
        <v>29</v>
      </c>
      <c r="N18" t="str">
        <f>+VLOOKUP(A18,[1]Buscador!$B:$E,4,0)</f>
        <v>Santa Elena</v>
      </c>
      <c r="O18" t="str">
        <f>+VLOOKUP(A18,[1]Buscador!$B:$F,5,0)</f>
        <v>Santa Elena</v>
      </c>
      <c r="P18" t="s">
        <v>153</v>
      </c>
      <c r="S18" t="s">
        <v>32</v>
      </c>
      <c r="T18" t="s">
        <v>33</v>
      </c>
      <c r="U18" t="s">
        <v>1092</v>
      </c>
      <c r="V18" t="s">
        <v>153</v>
      </c>
      <c r="W18" t="s">
        <v>1148</v>
      </c>
      <c r="X18" t="s">
        <v>1149</v>
      </c>
      <c r="Y18" t="s">
        <v>1150</v>
      </c>
      <c r="Z18" t="s">
        <v>1151</v>
      </c>
      <c r="AA18">
        <v>-2.2264001623</v>
      </c>
      <c r="AB18">
        <v>-80.858451644200002</v>
      </c>
      <c r="AC18">
        <v>0</v>
      </c>
      <c r="AD18">
        <f>+VLOOKUP(L18,Evalua!$G$2:$H$12,2,0)</f>
        <v>1</v>
      </c>
      <c r="AE18">
        <f>+VLOOKUP(M18,Evalua!$G$2:$H$12,2,0)</f>
        <v>2</v>
      </c>
    </row>
    <row r="19" spans="1:31" hidden="1" x14ac:dyDescent="0.2">
      <c r="A19" s="1" t="s">
        <v>448</v>
      </c>
      <c r="B19" t="s">
        <v>392</v>
      </c>
      <c r="G19" t="s">
        <v>98</v>
      </c>
      <c r="H19" t="s">
        <v>153</v>
      </c>
      <c r="I19" t="s">
        <v>26</v>
      </c>
      <c r="J19" t="s">
        <v>99</v>
      </c>
      <c r="K19" t="s">
        <v>27</v>
      </c>
      <c r="L19" t="s">
        <v>81</v>
      </c>
      <c r="M19" t="s">
        <v>160</v>
      </c>
      <c r="N19" t="str">
        <f>+VLOOKUP(A19,[1]Buscador!$B:$E,4,0)</f>
        <v>Quito</v>
      </c>
      <c r="O19" t="str">
        <f>+VLOOKUP(A19,[1]Buscador!$B:$F,5,0)</f>
        <v>Pichincha</v>
      </c>
      <c r="P19" t="s">
        <v>153</v>
      </c>
      <c r="S19" t="s">
        <v>208</v>
      </c>
      <c r="T19" t="s">
        <v>126</v>
      </c>
      <c r="U19" t="s">
        <v>392</v>
      </c>
      <c r="V19" t="s">
        <v>153</v>
      </c>
      <c r="W19" t="s">
        <v>449</v>
      </c>
      <c r="X19" t="s">
        <v>450</v>
      </c>
      <c r="Y19" t="s">
        <v>451</v>
      </c>
      <c r="Z19" t="s">
        <v>452</v>
      </c>
      <c r="AA19">
        <v>-0.18534561059999999</v>
      </c>
      <c r="AB19">
        <v>-78.478990546700004</v>
      </c>
      <c r="AC19">
        <v>0</v>
      </c>
      <c r="AD19">
        <f>+VLOOKUP(L19,Evalua!$G$2:$H$12,2,0)</f>
        <v>3</v>
      </c>
      <c r="AE19">
        <f>+VLOOKUP(M19,Evalua!$G$2:$H$12,2,0)</f>
        <v>1</v>
      </c>
    </row>
    <row r="20" spans="1:31" hidden="1" x14ac:dyDescent="0.2">
      <c r="A20" s="1" t="s">
        <v>1790</v>
      </c>
      <c r="B20" t="s">
        <v>1791</v>
      </c>
      <c r="D20" t="s">
        <v>1990</v>
      </c>
      <c r="E20" t="s">
        <v>2001</v>
      </c>
      <c r="G20" t="s">
        <v>1792</v>
      </c>
      <c r="H20" t="s">
        <v>153</v>
      </c>
      <c r="I20" t="s">
        <v>26</v>
      </c>
      <c r="J20" t="s">
        <v>2</v>
      </c>
      <c r="K20" t="s">
        <v>46</v>
      </c>
      <c r="L20" t="s">
        <v>28</v>
      </c>
      <c r="M20" t="s">
        <v>29</v>
      </c>
      <c r="N20" t="str">
        <f>+VLOOKUP(A20,[1]Buscador!$B:$E,4,0)</f>
        <v>Guayaquil</v>
      </c>
      <c r="O20" t="str">
        <f>+VLOOKUP(A20,[1]Buscador!$B:$F,5,0)</f>
        <v>Guayas</v>
      </c>
      <c r="P20" t="s">
        <v>31</v>
      </c>
      <c r="S20" t="s">
        <v>32</v>
      </c>
      <c r="T20" t="s">
        <v>33</v>
      </c>
      <c r="U20" t="s">
        <v>1502</v>
      </c>
      <c r="V20" t="s">
        <v>153</v>
      </c>
      <c r="X20" t="s">
        <v>1793</v>
      </c>
      <c r="Z20" t="s">
        <v>1957</v>
      </c>
      <c r="AA20">
        <v>-2.1775527356936002</v>
      </c>
      <c r="AB20">
        <v>-79.942488674591004</v>
      </c>
      <c r="AC20">
        <v>0</v>
      </c>
      <c r="AD20">
        <f>+VLOOKUP(L20,Evalua!$G$2:$H$12,2,0)</f>
        <v>1</v>
      </c>
      <c r="AE20">
        <f>+VLOOKUP(M20,Evalua!$G$2:$H$12,2,0)</f>
        <v>2</v>
      </c>
    </row>
    <row r="21" spans="1:31" hidden="1" x14ac:dyDescent="0.2">
      <c r="A21" s="1" t="s">
        <v>433</v>
      </c>
      <c r="B21" t="s">
        <v>376</v>
      </c>
      <c r="E21" s="3" t="s">
        <v>2001</v>
      </c>
      <c r="G21" t="s">
        <v>98</v>
      </c>
      <c r="H21" t="s">
        <v>153</v>
      </c>
      <c r="I21" t="s">
        <v>26</v>
      </c>
      <c r="J21" t="s">
        <v>99</v>
      </c>
      <c r="K21" t="s">
        <v>46</v>
      </c>
      <c r="L21" t="s">
        <v>28</v>
      </c>
      <c r="M21" t="s">
        <v>29</v>
      </c>
      <c r="N21" t="str">
        <f>+VLOOKUP(A21,[1]Buscador!$B:$E,4,0)</f>
        <v>Guayaquil</v>
      </c>
      <c r="O21" t="str">
        <f>+VLOOKUP(A21,[1]Buscador!$B:$F,5,0)</f>
        <v>Guayas</v>
      </c>
      <c r="P21" t="s">
        <v>153</v>
      </c>
      <c r="S21" t="s">
        <v>32</v>
      </c>
      <c r="T21" t="s">
        <v>33</v>
      </c>
      <c r="U21" t="s">
        <v>376</v>
      </c>
      <c r="V21" t="s">
        <v>153</v>
      </c>
      <c r="W21" t="s">
        <v>434</v>
      </c>
      <c r="X21" t="s">
        <v>435</v>
      </c>
      <c r="Y21" t="s">
        <v>436</v>
      </c>
      <c r="Z21" t="s">
        <v>437</v>
      </c>
      <c r="AA21">
        <v>-2.1450553376000001</v>
      </c>
      <c r="AB21">
        <v>-79.922635587499997</v>
      </c>
      <c r="AC21">
        <v>0</v>
      </c>
      <c r="AD21">
        <f>+VLOOKUP(L21,Evalua!$G$2:$H$12,2,0)</f>
        <v>1</v>
      </c>
      <c r="AE21">
        <f>+VLOOKUP(M21,Evalua!$G$2:$H$12,2,0)</f>
        <v>2</v>
      </c>
    </row>
    <row r="22" spans="1:31" hidden="1" x14ac:dyDescent="0.2">
      <c r="A22" s="1" t="s">
        <v>1668</v>
      </c>
      <c r="B22" t="s">
        <v>1669</v>
      </c>
      <c r="D22" t="s">
        <v>1990</v>
      </c>
      <c r="E22" t="s">
        <v>2018</v>
      </c>
      <c r="G22" t="s">
        <v>1670</v>
      </c>
      <c r="H22" t="s">
        <v>153</v>
      </c>
      <c r="I22" t="s">
        <v>26</v>
      </c>
      <c r="J22" t="s">
        <v>2</v>
      </c>
      <c r="K22" t="s">
        <v>27</v>
      </c>
      <c r="L22" t="s">
        <v>28</v>
      </c>
      <c r="M22" t="s">
        <v>29</v>
      </c>
      <c r="N22" t="str">
        <f>+VLOOKUP(A22,[1]Buscador!$B:$E,4,0)</f>
        <v>Ambato</v>
      </c>
      <c r="O22" t="str">
        <f>+VLOOKUP(A22,[1]Buscador!$B:$F,5,0)</f>
        <v>Tungurahua</v>
      </c>
      <c r="P22" t="s">
        <v>31</v>
      </c>
      <c r="S22" t="s">
        <v>32</v>
      </c>
      <c r="T22" t="s">
        <v>33</v>
      </c>
      <c r="U22" t="s">
        <v>1404</v>
      </c>
      <c r="V22" t="s">
        <v>153</v>
      </c>
      <c r="X22" t="s">
        <v>1671</v>
      </c>
      <c r="Z22" t="s">
        <v>1938</v>
      </c>
      <c r="AA22">
        <v>-1.2639733631126999</v>
      </c>
      <c r="AB22">
        <v>-78.640127976860001</v>
      </c>
      <c r="AC22">
        <v>0</v>
      </c>
      <c r="AD22">
        <f>+VLOOKUP(L22,Evalua!$G$2:$H$12,2,0)</f>
        <v>1</v>
      </c>
      <c r="AE22">
        <f>+VLOOKUP(M22,Evalua!$G$2:$H$12,2,0)</f>
        <v>2</v>
      </c>
    </row>
    <row r="23" spans="1:31" hidden="1" x14ac:dyDescent="0.2">
      <c r="A23" s="1" t="s">
        <v>1607</v>
      </c>
      <c r="B23" t="s">
        <v>1608</v>
      </c>
      <c r="D23" t="s">
        <v>2002</v>
      </c>
      <c r="E23" t="s">
        <v>2006</v>
      </c>
      <c r="G23" t="s">
        <v>1605</v>
      </c>
      <c r="H23" t="s">
        <v>153</v>
      </c>
      <c r="I23" t="s">
        <v>26</v>
      </c>
      <c r="J23" t="s">
        <v>2</v>
      </c>
      <c r="K23" t="s">
        <v>46</v>
      </c>
      <c r="L23" t="s">
        <v>28</v>
      </c>
      <c r="M23" t="s">
        <v>29</v>
      </c>
      <c r="N23" t="str">
        <f>+VLOOKUP(A23,[1]Buscador!$B:$E,4,0)</f>
        <v>Guayaquil</v>
      </c>
      <c r="O23" t="str">
        <f>+VLOOKUP(A23,[1]Buscador!$B:$F,5,0)</f>
        <v>Guayas</v>
      </c>
      <c r="P23" t="s">
        <v>31</v>
      </c>
      <c r="S23" t="s">
        <v>32</v>
      </c>
      <c r="T23" t="s">
        <v>33</v>
      </c>
      <c r="U23" t="s">
        <v>1355</v>
      </c>
      <c r="V23" t="s">
        <v>153</v>
      </c>
      <c r="X23" t="s">
        <v>1609</v>
      </c>
      <c r="Z23" t="s">
        <v>1930</v>
      </c>
      <c r="AA23">
        <v>-2.2291479999999999</v>
      </c>
      <c r="AB23">
        <v>-79.898456999999993</v>
      </c>
      <c r="AC23">
        <v>0</v>
      </c>
      <c r="AD23">
        <f>+VLOOKUP(L23,Evalua!$G$2:$H$12,2,0)</f>
        <v>1</v>
      </c>
      <c r="AE23">
        <f>+VLOOKUP(M23,Evalua!$G$2:$H$12,2,0)</f>
        <v>2</v>
      </c>
    </row>
    <row r="24" spans="1:31" hidden="1" x14ac:dyDescent="0.2">
      <c r="A24" s="1" t="s">
        <v>1030</v>
      </c>
      <c r="B24" t="s">
        <v>973</v>
      </c>
      <c r="E24" s="3" t="s">
        <v>1997</v>
      </c>
      <c r="G24" t="s">
        <v>98</v>
      </c>
      <c r="H24" t="s">
        <v>153</v>
      </c>
      <c r="I24" t="s">
        <v>26</v>
      </c>
      <c r="J24" t="s">
        <v>99</v>
      </c>
      <c r="K24" t="s">
        <v>46</v>
      </c>
      <c r="L24" t="s">
        <v>28</v>
      </c>
      <c r="M24" t="s">
        <v>29</v>
      </c>
      <c r="N24" t="str">
        <f>+VLOOKUP(A24,[1]Buscador!$B:$E,4,0)</f>
        <v>Guayaquil</v>
      </c>
      <c r="O24" t="str">
        <f>+VLOOKUP(A24,[1]Buscador!$B:$F,5,0)</f>
        <v>Guayas</v>
      </c>
      <c r="P24" t="s">
        <v>31</v>
      </c>
      <c r="S24" t="s">
        <v>32</v>
      </c>
      <c r="T24" t="s">
        <v>33</v>
      </c>
      <c r="U24" t="s">
        <v>973</v>
      </c>
      <c r="V24" t="s">
        <v>153</v>
      </c>
      <c r="W24" t="s">
        <v>1031</v>
      </c>
      <c r="X24" t="s">
        <v>1032</v>
      </c>
      <c r="Y24" t="s">
        <v>1033</v>
      </c>
      <c r="Z24" t="s">
        <v>1034</v>
      </c>
      <c r="AA24">
        <v>-2.1396199999999999</v>
      </c>
      <c r="AB24">
        <v>-79.898430000000005</v>
      </c>
      <c r="AC24">
        <v>0</v>
      </c>
      <c r="AD24">
        <f>+VLOOKUP(L24,Evalua!$G$2:$H$12,2,0)</f>
        <v>1</v>
      </c>
      <c r="AE24">
        <f>+VLOOKUP(M24,Evalua!$G$2:$H$12,2,0)</f>
        <v>2</v>
      </c>
    </row>
    <row r="25" spans="1:31" hidden="1" x14ac:dyDescent="0.2">
      <c r="A25" s="1" t="s">
        <v>1757</v>
      </c>
      <c r="B25" t="s">
        <v>1758</v>
      </c>
      <c r="G25" t="s">
        <v>1759</v>
      </c>
      <c r="H25" t="s">
        <v>153</v>
      </c>
      <c r="I25" t="s">
        <v>26</v>
      </c>
      <c r="J25" t="s">
        <v>2</v>
      </c>
      <c r="K25" t="s">
        <v>27</v>
      </c>
      <c r="L25" t="s">
        <v>28</v>
      </c>
      <c r="M25" t="s">
        <v>29</v>
      </c>
      <c r="N25" t="str">
        <f>+VLOOKUP(A25,[1]Buscador!$B:$E,4,0)</f>
        <v>Sangolquí</v>
      </c>
      <c r="O25" t="str">
        <f>+VLOOKUP(A25,[1]Buscador!$B:$F,5,0)</f>
        <v>Pichincha</v>
      </c>
      <c r="P25" t="s">
        <v>31</v>
      </c>
      <c r="S25" t="s">
        <v>32</v>
      </c>
      <c r="T25" t="s">
        <v>33</v>
      </c>
      <c r="U25" t="s">
        <v>1476</v>
      </c>
      <c r="V25" t="s">
        <v>153</v>
      </c>
      <c r="X25" t="s">
        <v>1760</v>
      </c>
      <c r="Z25" t="s">
        <v>1952</v>
      </c>
      <c r="AA25">
        <v>-0.30797568986607998</v>
      </c>
      <c r="AB25">
        <v>-78.449547381615005</v>
      </c>
      <c r="AC25">
        <v>0</v>
      </c>
      <c r="AD25">
        <f>+VLOOKUP(L25,Evalua!$G$2:$H$12,2,0)</f>
        <v>1</v>
      </c>
      <c r="AE25">
        <f>+VLOOKUP(M25,Evalua!$G$2:$H$12,2,0)</f>
        <v>2</v>
      </c>
    </row>
    <row r="26" spans="1:31" hidden="1" x14ac:dyDescent="0.2">
      <c r="A26" s="1" t="s">
        <v>1101</v>
      </c>
      <c r="B26" t="s">
        <v>1046</v>
      </c>
      <c r="E26" s="3" t="s">
        <v>1997</v>
      </c>
      <c r="G26" t="s">
        <v>98</v>
      </c>
      <c r="H26" t="s">
        <v>153</v>
      </c>
      <c r="I26" t="s">
        <v>26</v>
      </c>
      <c r="J26" t="s">
        <v>99</v>
      </c>
      <c r="K26" t="s">
        <v>46</v>
      </c>
      <c r="L26" t="s">
        <v>28</v>
      </c>
      <c r="M26" t="s">
        <v>29</v>
      </c>
      <c r="N26" t="str">
        <f>+VLOOKUP(A26,[1]Buscador!$B:$E,4,0)</f>
        <v>Guayaquil</v>
      </c>
      <c r="O26" t="str">
        <f>+VLOOKUP(A26,[1]Buscador!$B:$F,5,0)</f>
        <v>Guayas</v>
      </c>
      <c r="P26" t="s">
        <v>31</v>
      </c>
      <c r="S26" t="s">
        <v>32</v>
      </c>
      <c r="T26" t="s">
        <v>33</v>
      </c>
      <c r="U26" t="s">
        <v>1046</v>
      </c>
      <c r="V26" t="s">
        <v>153</v>
      </c>
      <c r="W26" t="s">
        <v>1102</v>
      </c>
      <c r="X26" t="s">
        <v>1103</v>
      </c>
      <c r="Y26" t="s">
        <v>1104</v>
      </c>
      <c r="Z26" t="s">
        <v>1105</v>
      </c>
      <c r="AA26">
        <v>-2.1577440000000001</v>
      </c>
      <c r="AB26">
        <v>-79.919684000000004</v>
      </c>
      <c r="AC26">
        <v>0</v>
      </c>
      <c r="AD26">
        <f>+VLOOKUP(L26,Evalua!$G$2:$H$12,2,0)</f>
        <v>1</v>
      </c>
      <c r="AE26">
        <f>+VLOOKUP(M26,Evalua!$G$2:$H$12,2,0)</f>
        <v>2</v>
      </c>
    </row>
    <row r="27" spans="1:31" hidden="1" x14ac:dyDescent="0.2">
      <c r="A27" s="1" t="s">
        <v>68</v>
      </c>
      <c r="B27" t="s">
        <v>69</v>
      </c>
      <c r="D27" t="s">
        <v>1990</v>
      </c>
      <c r="E27" t="s">
        <v>1997</v>
      </c>
      <c r="G27" t="s">
        <v>58</v>
      </c>
      <c r="H27" t="s">
        <v>153</v>
      </c>
      <c r="I27" t="s">
        <v>26</v>
      </c>
      <c r="J27" t="s">
        <v>2</v>
      </c>
      <c r="K27" t="s">
        <v>46</v>
      </c>
      <c r="L27" t="s">
        <v>28</v>
      </c>
      <c r="M27" t="s">
        <v>29</v>
      </c>
      <c r="N27" t="str">
        <f>+VLOOKUP(A27,[1]Buscador!$B:$E,4,0)</f>
        <v>Guayaquil</v>
      </c>
      <c r="O27" t="str">
        <f>+VLOOKUP(A27,[1]Buscador!$B:$F,5,0)</f>
        <v>Guayas</v>
      </c>
      <c r="P27" t="s">
        <v>31</v>
      </c>
      <c r="S27" t="s">
        <v>32</v>
      </c>
      <c r="T27" t="s">
        <v>33</v>
      </c>
      <c r="U27" t="s">
        <v>53</v>
      </c>
      <c r="V27" t="s">
        <v>153</v>
      </c>
      <c r="W27" t="s">
        <v>70</v>
      </c>
      <c r="X27" t="s">
        <v>71</v>
      </c>
      <c r="Y27" t="s">
        <v>72</v>
      </c>
      <c r="Z27" t="s">
        <v>73</v>
      </c>
      <c r="AA27">
        <v>-2.1479507455000002</v>
      </c>
      <c r="AB27">
        <v>-79.884499354499994</v>
      </c>
      <c r="AC27">
        <v>0</v>
      </c>
      <c r="AD27">
        <f>+VLOOKUP(L27,Evalua!$G$2:$H$12,2,0)</f>
        <v>1</v>
      </c>
      <c r="AE27">
        <f>+VLOOKUP(M27,Evalua!$G$2:$H$12,2,0)</f>
        <v>2</v>
      </c>
    </row>
    <row r="28" spans="1:31" hidden="1" x14ac:dyDescent="0.2">
      <c r="A28" s="1" t="s">
        <v>1096</v>
      </c>
      <c r="B28" t="s">
        <v>1041</v>
      </c>
      <c r="E28" s="3" t="s">
        <v>1997</v>
      </c>
      <c r="G28" t="s">
        <v>98</v>
      </c>
      <c r="H28" t="s">
        <v>153</v>
      </c>
      <c r="I28" t="s">
        <v>26</v>
      </c>
      <c r="J28" t="s">
        <v>99</v>
      </c>
      <c r="K28" t="s">
        <v>46</v>
      </c>
      <c r="L28" t="s">
        <v>28</v>
      </c>
      <c r="M28" t="s">
        <v>29</v>
      </c>
      <c r="N28" t="str">
        <f>+VLOOKUP(A28,[1]Buscador!$B:$E,4,0)</f>
        <v>Guayaquil</v>
      </c>
      <c r="O28" t="str">
        <f>+VLOOKUP(A28,[1]Buscador!$B:$F,5,0)</f>
        <v>Guayas</v>
      </c>
      <c r="P28" t="s">
        <v>153</v>
      </c>
      <c r="S28" t="s">
        <v>32</v>
      </c>
      <c r="T28" t="s">
        <v>33</v>
      </c>
      <c r="U28" t="s">
        <v>1041</v>
      </c>
      <c r="V28" t="s">
        <v>153</v>
      </c>
      <c r="W28" t="s">
        <v>1097</v>
      </c>
      <c r="X28" t="s">
        <v>1098</v>
      </c>
      <c r="Y28" t="s">
        <v>1099</v>
      </c>
      <c r="Z28" t="s">
        <v>1100</v>
      </c>
      <c r="AA28">
        <v>-2.2509105544999999</v>
      </c>
      <c r="AB28">
        <v>-79.899715861999994</v>
      </c>
      <c r="AC28">
        <v>0</v>
      </c>
      <c r="AD28">
        <f>+VLOOKUP(L28,Evalua!$G$2:$H$12,2,0)</f>
        <v>1</v>
      </c>
      <c r="AE28">
        <f>+VLOOKUP(M28,Evalua!$G$2:$H$12,2,0)</f>
        <v>2</v>
      </c>
    </row>
    <row r="29" spans="1:31" hidden="1" x14ac:dyDescent="0.2">
      <c r="A29" s="1" t="s">
        <v>1644</v>
      </c>
      <c r="B29" t="s">
        <v>1645</v>
      </c>
      <c r="D29" t="s">
        <v>2003</v>
      </c>
      <c r="E29" t="s">
        <v>1998</v>
      </c>
      <c r="G29" t="s">
        <v>1646</v>
      </c>
      <c r="H29" t="s">
        <v>153</v>
      </c>
      <c r="I29" t="s">
        <v>26</v>
      </c>
      <c r="J29" t="s">
        <v>2</v>
      </c>
      <c r="K29" t="s">
        <v>46</v>
      </c>
      <c r="L29" t="s">
        <v>28</v>
      </c>
      <c r="M29" t="s">
        <v>29</v>
      </c>
      <c r="N29" t="str">
        <f>+VLOOKUP(A29,[1]Buscador!$B:$E,4,0)</f>
        <v>Guayaquil</v>
      </c>
      <c r="O29" t="str">
        <f>+VLOOKUP(A29,[1]Buscador!$B:$F,5,0)</f>
        <v>Guayas</v>
      </c>
      <c r="P29" t="s">
        <v>153</v>
      </c>
      <c r="S29" t="s">
        <v>32</v>
      </c>
      <c r="T29" t="s">
        <v>33</v>
      </c>
      <c r="U29" t="s">
        <v>1382</v>
      </c>
      <c r="V29" t="s">
        <v>153</v>
      </c>
      <c r="X29" t="s">
        <v>1647</v>
      </c>
      <c r="Z29" t="s">
        <v>1935</v>
      </c>
      <c r="AA29">
        <v>-2.1931403563253</v>
      </c>
      <c r="AB29">
        <v>-79.888195372799004</v>
      </c>
      <c r="AC29">
        <v>0</v>
      </c>
      <c r="AD29">
        <f>+VLOOKUP(L29,Evalua!$G$2:$H$12,2,0)</f>
        <v>1</v>
      </c>
      <c r="AE29">
        <f>+VLOOKUP(M29,Evalua!$G$2:$H$12,2,0)</f>
        <v>2</v>
      </c>
    </row>
    <row r="30" spans="1:31" hidden="1" x14ac:dyDescent="0.2">
      <c r="A30" s="1" t="s">
        <v>213</v>
      </c>
      <c r="B30" t="s">
        <v>142</v>
      </c>
      <c r="G30" t="s">
        <v>98</v>
      </c>
      <c r="H30" t="s">
        <v>153</v>
      </c>
      <c r="I30" t="s">
        <v>26</v>
      </c>
      <c r="J30" t="s">
        <v>99</v>
      </c>
      <c r="K30" t="s">
        <v>27</v>
      </c>
      <c r="L30" t="s">
        <v>81</v>
      </c>
      <c r="M30" t="s">
        <v>29</v>
      </c>
      <c r="N30" t="str">
        <f>+VLOOKUP(A30,[1]Buscador!$B:$E,4,0)</f>
        <v>Quito</v>
      </c>
      <c r="O30" t="str">
        <f>+VLOOKUP(A30,[1]Buscador!$B:$F,5,0)</f>
        <v>Pichincha</v>
      </c>
      <c r="P30" t="s">
        <v>153</v>
      </c>
      <c r="S30" t="s">
        <v>82</v>
      </c>
      <c r="T30" t="s">
        <v>83</v>
      </c>
      <c r="U30" t="s">
        <v>142</v>
      </c>
      <c r="V30" t="s">
        <v>153</v>
      </c>
      <c r="W30" t="s">
        <v>214</v>
      </c>
      <c r="X30" t="s">
        <v>215</v>
      </c>
      <c r="Y30" t="s">
        <v>216</v>
      </c>
      <c r="Z30" t="s">
        <v>217</v>
      </c>
      <c r="AA30">
        <v>-0.15862200000000001</v>
      </c>
      <c r="AB30">
        <v>-78.488167000000004</v>
      </c>
      <c r="AC30">
        <v>0</v>
      </c>
      <c r="AD30">
        <f>+VLOOKUP(L30,Evalua!$G$2:$H$12,2,0)</f>
        <v>3</v>
      </c>
      <c r="AE30">
        <f>+VLOOKUP(M30,Evalua!$G$2:$H$12,2,0)</f>
        <v>2</v>
      </c>
    </row>
    <row r="31" spans="1:31" hidden="1" x14ac:dyDescent="0.2">
      <c r="A31" s="1" t="s">
        <v>453</v>
      </c>
      <c r="B31" t="s">
        <v>397</v>
      </c>
      <c r="C31" t="s">
        <v>2025</v>
      </c>
      <c r="D31" t="s">
        <v>1995</v>
      </c>
      <c r="E31" s="3" t="s">
        <v>1997</v>
      </c>
      <c r="G31" t="s">
        <v>98</v>
      </c>
      <c r="H31" t="s">
        <v>153</v>
      </c>
      <c r="I31" t="s">
        <v>26</v>
      </c>
      <c r="J31" t="s">
        <v>99</v>
      </c>
      <c r="K31" t="s">
        <v>46</v>
      </c>
      <c r="L31" t="s">
        <v>81</v>
      </c>
      <c r="M31" t="s">
        <v>160</v>
      </c>
      <c r="N31" t="str">
        <f>+VLOOKUP(A31,[1]Buscador!$B:$E,4,0)</f>
        <v>Guayaquil</v>
      </c>
      <c r="O31" t="str">
        <f>+VLOOKUP(A31,[1]Buscador!$B:$F,5,0)</f>
        <v>Guayas</v>
      </c>
      <c r="P31" t="s">
        <v>153</v>
      </c>
      <c r="S31" t="s">
        <v>208</v>
      </c>
      <c r="T31" t="s">
        <v>126</v>
      </c>
      <c r="U31" t="s">
        <v>397</v>
      </c>
      <c r="V31" t="s">
        <v>153</v>
      </c>
      <c r="W31" t="s">
        <v>454</v>
      </c>
      <c r="X31" t="s">
        <v>455</v>
      </c>
      <c r="Y31" t="s">
        <v>456</v>
      </c>
      <c r="Z31" t="s">
        <v>457</v>
      </c>
      <c r="AA31">
        <v>-2.2111070203000001</v>
      </c>
      <c r="AB31">
        <v>-79.930980380099996</v>
      </c>
      <c r="AC31">
        <v>0</v>
      </c>
      <c r="AD31">
        <f>+VLOOKUP(L31,Evalua!$G$2:$H$12,2,0)</f>
        <v>3</v>
      </c>
      <c r="AE31">
        <f>+VLOOKUP(M31,Evalua!$G$2:$H$12,2,0)</f>
        <v>1</v>
      </c>
    </row>
    <row r="32" spans="1:31" hidden="1" x14ac:dyDescent="0.2">
      <c r="A32" s="1" t="s">
        <v>578</v>
      </c>
      <c r="B32" t="s">
        <v>523</v>
      </c>
      <c r="E32" t="s">
        <v>1997</v>
      </c>
      <c r="G32" t="s">
        <v>98</v>
      </c>
      <c r="H32" t="s">
        <v>1970</v>
      </c>
      <c r="I32" t="s">
        <v>26</v>
      </c>
      <c r="J32" t="s">
        <v>99</v>
      </c>
      <c r="K32" t="s">
        <v>46</v>
      </c>
      <c r="L32" t="s">
        <v>28</v>
      </c>
      <c r="M32" t="s">
        <v>29</v>
      </c>
      <c r="N32" t="str">
        <f>+VLOOKUP(A32,[1]Buscador!$B:$E,4,0)</f>
        <v>Montañita</v>
      </c>
      <c r="O32" t="str">
        <f>+VLOOKUP(A32,[1]Buscador!$B:$F,5,0)</f>
        <v>Santa Elena</v>
      </c>
      <c r="P32" t="s">
        <v>31</v>
      </c>
      <c r="S32" t="s">
        <v>32</v>
      </c>
      <c r="T32" t="s">
        <v>33</v>
      </c>
      <c r="U32" t="s">
        <v>523</v>
      </c>
      <c r="V32" t="s">
        <v>1922</v>
      </c>
      <c r="W32" t="s">
        <v>579</v>
      </c>
      <c r="X32" t="s">
        <v>580</v>
      </c>
      <c r="Y32" t="s">
        <v>581</v>
      </c>
      <c r="Z32" t="s">
        <v>582</v>
      </c>
      <c r="AA32">
        <v>-1.8266960736</v>
      </c>
      <c r="AB32">
        <v>-80.753190150199998</v>
      </c>
      <c r="AC32">
        <v>0</v>
      </c>
      <c r="AD32">
        <f>+VLOOKUP(L32,Evalua!$G$2:$H$12,2,0)</f>
        <v>1</v>
      </c>
      <c r="AE32">
        <f>+VLOOKUP(M32,Evalua!$G$2:$H$12,2,0)</f>
        <v>2</v>
      </c>
    </row>
    <row r="33" spans="1:31" hidden="1" x14ac:dyDescent="0.2">
      <c r="A33" s="1" t="s">
        <v>987</v>
      </c>
      <c r="B33" t="s">
        <v>933</v>
      </c>
      <c r="G33" t="s">
        <v>98</v>
      </c>
      <c r="H33" t="s">
        <v>153</v>
      </c>
      <c r="I33" t="s">
        <v>26</v>
      </c>
      <c r="J33" t="s">
        <v>99</v>
      </c>
      <c r="K33" t="s">
        <v>988</v>
      </c>
      <c r="L33" t="s">
        <v>123</v>
      </c>
      <c r="M33" t="s">
        <v>234</v>
      </c>
      <c r="N33" t="str">
        <f>+VLOOKUP(A33,[1]Buscador!$B:$E,4,0)</f>
        <v>Puerto Ayora</v>
      </c>
      <c r="O33" t="str">
        <f>+VLOOKUP(A33,[1]Buscador!$B:$F,5,0)</f>
        <v>Galápagos</v>
      </c>
      <c r="P33" t="s">
        <v>153</v>
      </c>
      <c r="S33" t="s">
        <v>990</v>
      </c>
      <c r="T33" t="s">
        <v>83</v>
      </c>
      <c r="U33" t="s">
        <v>933</v>
      </c>
      <c r="V33" t="s">
        <v>153</v>
      </c>
      <c r="W33" t="s">
        <v>991</v>
      </c>
      <c r="X33" t="s">
        <v>992</v>
      </c>
      <c r="Y33" t="s">
        <v>993</v>
      </c>
      <c r="Z33" t="s">
        <v>994</v>
      </c>
      <c r="AA33">
        <v>-0.74773832149999997</v>
      </c>
      <c r="AB33">
        <v>-90.313735658599995</v>
      </c>
      <c r="AC33">
        <v>0</v>
      </c>
      <c r="AD33">
        <f>+VLOOKUP(L33,Evalua!$G$2:$H$12,2,0)</f>
        <v>4</v>
      </c>
      <c r="AE33">
        <f>+VLOOKUP(M33,Evalua!$G$2:$H$12,2,0)</f>
        <v>3</v>
      </c>
    </row>
    <row r="34" spans="1:31" hidden="1" x14ac:dyDescent="0.2">
      <c r="A34" s="1" t="s">
        <v>1494</v>
      </c>
      <c r="B34" t="s">
        <v>1495</v>
      </c>
      <c r="G34" t="s">
        <v>1496</v>
      </c>
      <c r="H34" t="s">
        <v>153</v>
      </c>
      <c r="I34" t="s">
        <v>26</v>
      </c>
      <c r="J34" t="s">
        <v>2</v>
      </c>
      <c r="K34" t="s">
        <v>194</v>
      </c>
      <c r="L34" t="s">
        <v>28</v>
      </c>
      <c r="M34" t="s">
        <v>234</v>
      </c>
      <c r="N34" t="str">
        <f>+VLOOKUP(A34,[1]Buscador!$B:$E,4,0)</f>
        <v>San Isidro</v>
      </c>
      <c r="O34" t="str">
        <f>+VLOOKUP(A34,[1]Buscador!$B:$F,5,0)</f>
        <v>Santo Domingo de los Tsáchilas</v>
      </c>
      <c r="P34" t="s">
        <v>31</v>
      </c>
      <c r="S34" t="s">
        <v>729</v>
      </c>
      <c r="T34" t="s">
        <v>730</v>
      </c>
      <c r="U34" t="s">
        <v>1288</v>
      </c>
      <c r="V34" t="s">
        <v>153</v>
      </c>
      <c r="W34" t="s">
        <v>1497</v>
      </c>
      <c r="X34" t="s">
        <v>1498</v>
      </c>
      <c r="Y34" t="s">
        <v>1499</v>
      </c>
      <c r="Z34" t="s">
        <v>1500</v>
      </c>
      <c r="AA34">
        <v>4.7511680000000001E-3</v>
      </c>
      <c r="AB34">
        <v>-79.397524259799994</v>
      </c>
      <c r="AC34">
        <v>0</v>
      </c>
      <c r="AD34">
        <f>+VLOOKUP(L34,Evalua!$G$2:$H$12,2,0)</f>
        <v>1</v>
      </c>
      <c r="AE34">
        <f>+VLOOKUP(M34,Evalua!$G$2:$H$12,2,0)</f>
        <v>3</v>
      </c>
    </row>
    <row r="35" spans="1:31" hidden="1" x14ac:dyDescent="0.2">
      <c r="A35" s="1" t="s">
        <v>1127</v>
      </c>
      <c r="B35" t="s">
        <v>1072</v>
      </c>
      <c r="E35" s="3" t="s">
        <v>1997</v>
      </c>
      <c r="G35" t="s">
        <v>98</v>
      </c>
      <c r="H35" t="s">
        <v>153</v>
      </c>
      <c r="I35" t="s">
        <v>26</v>
      </c>
      <c r="J35" t="s">
        <v>99</v>
      </c>
      <c r="K35" t="s">
        <v>46</v>
      </c>
      <c r="L35" t="s">
        <v>81</v>
      </c>
      <c r="M35" t="s">
        <v>29</v>
      </c>
      <c r="N35" t="str">
        <f>+VLOOKUP(A35,[1]Buscador!$B:$E,4,0)</f>
        <v>Guayaquil</v>
      </c>
      <c r="O35" t="str">
        <f>+VLOOKUP(A35,[1]Buscador!$B:$F,5,0)</f>
        <v>Guayas</v>
      </c>
      <c r="P35" t="s">
        <v>31</v>
      </c>
      <c r="S35" t="s">
        <v>82</v>
      </c>
      <c r="T35" t="s">
        <v>83</v>
      </c>
      <c r="U35" t="s">
        <v>1072</v>
      </c>
      <c r="V35" t="s">
        <v>153</v>
      </c>
      <c r="W35" t="s">
        <v>1128</v>
      </c>
      <c r="X35" t="s">
        <v>1129</v>
      </c>
      <c r="Y35" t="s">
        <v>1130</v>
      </c>
      <c r="Z35" t="s">
        <v>1131</v>
      </c>
      <c r="AA35">
        <v>-2.0684263198999999</v>
      </c>
      <c r="AB35">
        <v>-79.933219747799996</v>
      </c>
      <c r="AC35">
        <v>0</v>
      </c>
      <c r="AD35">
        <f>+VLOOKUP(L35,Evalua!$G$2:$H$12,2,0)</f>
        <v>3</v>
      </c>
      <c r="AE35">
        <f>+VLOOKUP(M35,Evalua!$G$2:$H$12,2,0)</f>
        <v>2</v>
      </c>
    </row>
    <row r="36" spans="1:31" hidden="1" x14ac:dyDescent="0.2">
      <c r="A36" s="1" t="s">
        <v>487</v>
      </c>
      <c r="B36" t="s">
        <v>434</v>
      </c>
      <c r="E36" t="s">
        <v>2006</v>
      </c>
      <c r="G36" t="s">
        <v>98</v>
      </c>
      <c r="H36" t="s">
        <v>1970</v>
      </c>
      <c r="I36" t="s">
        <v>26</v>
      </c>
      <c r="J36" t="s">
        <v>99</v>
      </c>
      <c r="K36" t="s">
        <v>46</v>
      </c>
      <c r="L36" t="s">
        <v>28</v>
      </c>
      <c r="M36" t="s">
        <v>29</v>
      </c>
      <c r="N36" t="str">
        <f>+VLOOKUP(A36,[1]Buscador!$B:$E,4,0)</f>
        <v>San Pablo</v>
      </c>
      <c r="O36" t="str">
        <f>+VLOOKUP(A36,[1]Buscador!$B:$F,5,0)</f>
        <v>Santa Elena</v>
      </c>
      <c r="P36" t="s">
        <v>153</v>
      </c>
      <c r="S36" t="s">
        <v>32</v>
      </c>
      <c r="T36" t="s">
        <v>33</v>
      </c>
      <c r="U36" t="s">
        <v>434</v>
      </c>
      <c r="V36" t="s">
        <v>1922</v>
      </c>
      <c r="W36" t="s">
        <v>488</v>
      </c>
      <c r="X36" t="s">
        <v>489</v>
      </c>
      <c r="Y36" t="s">
        <v>490</v>
      </c>
      <c r="Z36" t="s">
        <v>491</v>
      </c>
      <c r="AA36">
        <v>-2.1404130000000001</v>
      </c>
      <c r="AB36">
        <v>-80.777270999999999</v>
      </c>
      <c r="AC36">
        <v>0</v>
      </c>
      <c r="AD36">
        <f>+VLOOKUP(L36,Evalua!$G$2:$H$12,2,0)</f>
        <v>1</v>
      </c>
      <c r="AE36">
        <f>+VLOOKUP(M36,Evalua!$G$2:$H$12,2,0)</f>
        <v>2</v>
      </c>
    </row>
    <row r="37" spans="1:31" hidden="1" x14ac:dyDescent="0.2">
      <c r="A37" s="1" t="s">
        <v>1660</v>
      </c>
      <c r="B37" t="s">
        <v>1661</v>
      </c>
      <c r="D37" t="s">
        <v>2013</v>
      </c>
      <c r="E37" t="s">
        <v>2012</v>
      </c>
      <c r="G37" t="s">
        <v>1398</v>
      </c>
      <c r="H37" t="s">
        <v>153</v>
      </c>
      <c r="I37" t="s">
        <v>26</v>
      </c>
      <c r="J37" t="s">
        <v>2</v>
      </c>
      <c r="K37" t="s">
        <v>46</v>
      </c>
      <c r="L37" t="s">
        <v>81</v>
      </c>
      <c r="M37" t="s">
        <v>234</v>
      </c>
      <c r="N37" t="str">
        <f>+VLOOKUP(A37,[1]Buscador!$B:$E,4,0)</f>
        <v>Guayaquil</v>
      </c>
      <c r="O37" t="str">
        <f>+VLOOKUP(A37,[1]Buscador!$B:$F,5,0)</f>
        <v>Guayas</v>
      </c>
      <c r="P37" t="s">
        <v>31</v>
      </c>
      <c r="S37" t="s">
        <v>235</v>
      </c>
      <c r="T37" t="s">
        <v>33</v>
      </c>
      <c r="U37" t="s">
        <v>1398</v>
      </c>
      <c r="V37" t="s">
        <v>153</v>
      </c>
      <c r="X37" t="s">
        <v>1662</v>
      </c>
      <c r="Z37" t="s">
        <v>1937</v>
      </c>
      <c r="AA37">
        <v>-2.0986220000000002</v>
      </c>
      <c r="AB37">
        <v>-79.936397999999997</v>
      </c>
      <c r="AC37">
        <v>0</v>
      </c>
      <c r="AD37">
        <f>+VLOOKUP(L37,Evalua!$G$2:$H$12,2,0)</f>
        <v>3</v>
      </c>
      <c r="AE37">
        <f>+VLOOKUP(M37,Evalua!$G$2:$H$12,2,0)</f>
        <v>3</v>
      </c>
    </row>
    <row r="38" spans="1:31" hidden="1" x14ac:dyDescent="0.2">
      <c r="A38" s="1" t="s">
        <v>708</v>
      </c>
      <c r="B38" t="s">
        <v>654</v>
      </c>
      <c r="D38" t="s">
        <v>1990</v>
      </c>
      <c r="E38" t="s">
        <v>1998</v>
      </c>
      <c r="G38" t="s">
        <v>98</v>
      </c>
      <c r="H38" t="s">
        <v>153</v>
      </c>
      <c r="I38" t="s">
        <v>26</v>
      </c>
      <c r="J38" t="s">
        <v>99</v>
      </c>
      <c r="K38" t="s">
        <v>46</v>
      </c>
      <c r="L38" t="s">
        <v>28</v>
      </c>
      <c r="M38" t="s">
        <v>29</v>
      </c>
      <c r="N38" t="str">
        <f>+VLOOKUP(A38,[1]Buscador!$B:$E,4,0)</f>
        <v>Salinas</v>
      </c>
      <c r="O38" t="str">
        <f>+VLOOKUP(A38,[1]Buscador!$B:$F,5,0)</f>
        <v>Santa Elena</v>
      </c>
      <c r="P38" t="s">
        <v>153</v>
      </c>
      <c r="S38" t="s">
        <v>32</v>
      </c>
      <c r="T38" t="s">
        <v>33</v>
      </c>
      <c r="U38" t="s">
        <v>654</v>
      </c>
      <c r="V38" t="s">
        <v>1922</v>
      </c>
      <c r="W38" t="s">
        <v>709</v>
      </c>
      <c r="X38" t="s">
        <v>710</v>
      </c>
      <c r="Y38" t="s">
        <v>711</v>
      </c>
      <c r="Z38" t="s">
        <v>712</v>
      </c>
      <c r="AA38">
        <v>-2.2052601381999999</v>
      </c>
      <c r="AB38">
        <v>-80.958534004399993</v>
      </c>
      <c r="AC38">
        <v>0</v>
      </c>
      <c r="AD38">
        <f>+VLOOKUP(L38,Evalua!$G$2:$H$12,2,0)</f>
        <v>1</v>
      </c>
      <c r="AE38">
        <f>+VLOOKUP(M38,Evalua!$G$2:$H$12,2,0)</f>
        <v>2</v>
      </c>
    </row>
    <row r="39" spans="1:31" hidden="1" x14ac:dyDescent="0.2">
      <c r="A39" s="1" t="s">
        <v>972</v>
      </c>
      <c r="B39" t="s">
        <v>918</v>
      </c>
      <c r="G39" t="s">
        <v>98</v>
      </c>
      <c r="H39" t="s">
        <v>153</v>
      </c>
      <c r="I39" t="s">
        <v>26</v>
      </c>
      <c r="J39" t="s">
        <v>99</v>
      </c>
      <c r="K39" t="s">
        <v>27</v>
      </c>
      <c r="L39" t="s">
        <v>28</v>
      </c>
      <c r="M39" t="s">
        <v>29</v>
      </c>
      <c r="N39" t="str">
        <f>+VLOOKUP(A39,[1]Buscador!$B:$E,4,0)</f>
        <v>Sangolquí</v>
      </c>
      <c r="O39" t="str">
        <f>+VLOOKUP(A39,[1]Buscador!$B:$F,5,0)</f>
        <v>Pichincha</v>
      </c>
      <c r="P39" t="s">
        <v>153</v>
      </c>
      <c r="S39" t="s">
        <v>32</v>
      </c>
      <c r="T39" t="s">
        <v>33</v>
      </c>
      <c r="U39" t="s">
        <v>918</v>
      </c>
      <c r="V39" t="s">
        <v>153</v>
      </c>
      <c r="W39" t="s">
        <v>973</v>
      </c>
      <c r="X39" t="s">
        <v>974</v>
      </c>
      <c r="Y39" t="s">
        <v>975</v>
      </c>
      <c r="Z39" t="s">
        <v>976</v>
      </c>
      <c r="AA39">
        <v>-0.32772240689999999</v>
      </c>
      <c r="AB39">
        <v>-78.450253377400003</v>
      </c>
      <c r="AC39">
        <v>0</v>
      </c>
      <c r="AD39">
        <f>+VLOOKUP(L39,Evalua!$G$2:$H$12,2,0)</f>
        <v>1</v>
      </c>
      <c r="AE39">
        <f>+VLOOKUP(M39,Evalua!$G$2:$H$12,2,0)</f>
        <v>2</v>
      </c>
    </row>
    <row r="40" spans="1:31" hidden="1" x14ac:dyDescent="0.2">
      <c r="A40" s="1" t="s">
        <v>78</v>
      </c>
      <c r="B40" t="s">
        <v>79</v>
      </c>
      <c r="D40" t="s">
        <v>2003</v>
      </c>
      <c r="E40" t="s">
        <v>1997</v>
      </c>
      <c r="G40" t="s">
        <v>80</v>
      </c>
      <c r="H40" t="s">
        <v>153</v>
      </c>
      <c r="I40" t="s">
        <v>26</v>
      </c>
      <c r="J40" t="s">
        <v>2</v>
      </c>
      <c r="K40" t="s">
        <v>46</v>
      </c>
      <c r="L40" t="s">
        <v>81</v>
      </c>
      <c r="M40" t="s">
        <v>29</v>
      </c>
      <c r="N40" t="str">
        <f>+VLOOKUP(A40,[1]Buscador!$B:$E,4,0)</f>
        <v>Guayaquil</v>
      </c>
      <c r="O40" t="str">
        <f>+VLOOKUP(A40,[1]Buscador!$B:$F,5,0)</f>
        <v>Guayas</v>
      </c>
      <c r="P40" t="s">
        <v>31</v>
      </c>
      <c r="S40" t="s">
        <v>82</v>
      </c>
      <c r="T40" t="s">
        <v>83</v>
      </c>
      <c r="U40" t="s">
        <v>59</v>
      </c>
      <c r="V40" t="s">
        <v>153</v>
      </c>
      <c r="W40" t="s">
        <v>84</v>
      </c>
      <c r="X40" t="s">
        <v>85</v>
      </c>
      <c r="Y40" t="s">
        <v>86</v>
      </c>
      <c r="Z40" t="s">
        <v>87</v>
      </c>
      <c r="AA40">
        <v>-2.1335977860000002</v>
      </c>
      <c r="AB40">
        <v>-79.904058839300006</v>
      </c>
      <c r="AC40">
        <v>0</v>
      </c>
      <c r="AD40">
        <f>+VLOOKUP(L40,Evalua!$G$2:$H$12,2,0)</f>
        <v>3</v>
      </c>
      <c r="AE40">
        <f>+VLOOKUP(M40,Evalua!$G$2:$H$12,2,0)</f>
        <v>2</v>
      </c>
    </row>
    <row r="41" spans="1:31" hidden="1" x14ac:dyDescent="0.2">
      <c r="A41" s="1" t="s">
        <v>88</v>
      </c>
      <c r="B41" t="s">
        <v>89</v>
      </c>
      <c r="D41" t="s">
        <v>2003</v>
      </c>
      <c r="E41" t="s">
        <v>1997</v>
      </c>
      <c r="G41" t="s">
        <v>80</v>
      </c>
      <c r="H41" t="s">
        <v>153</v>
      </c>
      <c r="I41" t="s">
        <v>26</v>
      </c>
      <c r="J41" t="s">
        <v>2</v>
      </c>
      <c r="K41" t="s">
        <v>46</v>
      </c>
      <c r="L41" t="s">
        <v>81</v>
      </c>
      <c r="M41" t="s">
        <v>29</v>
      </c>
      <c r="N41" t="str">
        <f>+VLOOKUP(A41,[1]Buscador!$B:$E,4,0)</f>
        <v>Guayaquil</v>
      </c>
      <c r="O41" t="str">
        <f>+VLOOKUP(A41,[1]Buscador!$B:$F,5,0)</f>
        <v>Guayas</v>
      </c>
      <c r="P41" t="s">
        <v>31</v>
      </c>
      <c r="S41" t="s">
        <v>82</v>
      </c>
      <c r="T41" t="s">
        <v>83</v>
      </c>
      <c r="U41" t="s">
        <v>59</v>
      </c>
      <c r="V41" t="s">
        <v>153</v>
      </c>
      <c r="W41" t="s">
        <v>90</v>
      </c>
      <c r="X41" t="s">
        <v>91</v>
      </c>
      <c r="Y41" t="s">
        <v>92</v>
      </c>
      <c r="Z41" t="s">
        <v>87</v>
      </c>
      <c r="AA41">
        <v>-2.1335977860000002</v>
      </c>
      <c r="AB41">
        <v>-79.904058839300006</v>
      </c>
      <c r="AC41">
        <v>0</v>
      </c>
      <c r="AD41">
        <f>+VLOOKUP(L41,Evalua!$G$2:$H$12,2,0)</f>
        <v>3</v>
      </c>
      <c r="AE41">
        <f>+VLOOKUP(M41,Evalua!$G$2:$H$12,2,0)</f>
        <v>2</v>
      </c>
    </row>
    <row r="42" spans="1:31" hidden="1" x14ac:dyDescent="0.2">
      <c r="A42" s="1" t="s">
        <v>502</v>
      </c>
      <c r="B42" t="s">
        <v>449</v>
      </c>
      <c r="D42" t="s">
        <v>1990</v>
      </c>
      <c r="E42" s="3" t="s">
        <v>1993</v>
      </c>
      <c r="G42" t="s">
        <v>98</v>
      </c>
      <c r="H42" t="s">
        <v>153</v>
      </c>
      <c r="I42" t="s">
        <v>26</v>
      </c>
      <c r="J42" t="s">
        <v>99</v>
      </c>
      <c r="K42" t="s">
        <v>46</v>
      </c>
      <c r="L42" t="s">
        <v>28</v>
      </c>
      <c r="M42" t="s">
        <v>29</v>
      </c>
      <c r="N42" t="str">
        <f>+VLOOKUP(A42,[1]Buscador!$B:$E,4,0)</f>
        <v>Guayaquil</v>
      </c>
      <c r="O42" t="str">
        <f>+VLOOKUP(A42,[1]Buscador!$B:$F,5,0)</f>
        <v>Guayas</v>
      </c>
      <c r="P42" t="s">
        <v>31</v>
      </c>
      <c r="S42" t="s">
        <v>32</v>
      </c>
      <c r="T42" t="s">
        <v>33</v>
      </c>
      <c r="U42" t="s">
        <v>449</v>
      </c>
      <c r="V42" t="s">
        <v>153</v>
      </c>
      <c r="W42" t="s">
        <v>503</v>
      </c>
      <c r="X42" t="s">
        <v>504</v>
      </c>
      <c r="Y42" t="s">
        <v>505</v>
      </c>
      <c r="Z42" t="s">
        <v>506</v>
      </c>
      <c r="AA42">
        <v>-2.2147066028000002</v>
      </c>
      <c r="AB42">
        <v>-80.079164378200005</v>
      </c>
      <c r="AC42">
        <v>0</v>
      </c>
      <c r="AD42">
        <f>+VLOOKUP(L42,Evalua!$G$2:$H$12,2,0)</f>
        <v>1</v>
      </c>
      <c r="AE42">
        <f>+VLOOKUP(M42,Evalua!$G$2:$H$12,2,0)</f>
        <v>2</v>
      </c>
    </row>
    <row r="43" spans="1:31" hidden="1" x14ac:dyDescent="0.2">
      <c r="A43" s="1" t="s">
        <v>1226</v>
      </c>
      <c r="B43" t="s">
        <v>1227</v>
      </c>
      <c r="G43" t="s">
        <v>1228</v>
      </c>
      <c r="H43" t="s">
        <v>153</v>
      </c>
      <c r="I43" t="s">
        <v>26</v>
      </c>
      <c r="J43" t="s">
        <v>2</v>
      </c>
      <c r="K43" t="s">
        <v>159</v>
      </c>
      <c r="L43" t="s">
        <v>28</v>
      </c>
      <c r="M43" t="s">
        <v>29</v>
      </c>
      <c r="N43" t="str">
        <f>+VLOOKUP(A43,[1]Buscador!$B:$E,4,0)</f>
        <v>Azogues</v>
      </c>
      <c r="O43" t="str">
        <f>+VLOOKUP(A43,[1]Buscador!$B:$F,5,0)</f>
        <v>Cañar</v>
      </c>
      <c r="P43" t="s">
        <v>31</v>
      </c>
      <c r="S43" t="s">
        <v>32</v>
      </c>
      <c r="T43" t="s">
        <v>33</v>
      </c>
      <c r="U43" t="s">
        <v>568</v>
      </c>
      <c r="V43" t="s">
        <v>153</v>
      </c>
      <c r="W43" t="s">
        <v>1229</v>
      </c>
      <c r="X43" t="s">
        <v>1230</v>
      </c>
      <c r="Y43" t="s">
        <v>1231</v>
      </c>
      <c r="Z43" t="s">
        <v>1232</v>
      </c>
      <c r="AA43">
        <v>-2.7378502881000002</v>
      </c>
      <c r="AB43">
        <v>-78.846438442600004</v>
      </c>
      <c r="AC43">
        <v>0</v>
      </c>
      <c r="AD43">
        <f>+VLOOKUP(L43,Evalua!$G$2:$H$12,2,0)</f>
        <v>1</v>
      </c>
      <c r="AE43">
        <f>+VLOOKUP(M43,Evalua!$G$2:$H$12,2,0)</f>
        <v>2</v>
      </c>
    </row>
    <row r="44" spans="1:31" hidden="1" x14ac:dyDescent="0.2">
      <c r="A44" s="1" t="s">
        <v>1081</v>
      </c>
      <c r="B44" t="s">
        <v>1026</v>
      </c>
      <c r="C44" t="s">
        <v>2023</v>
      </c>
      <c r="D44" t="s">
        <v>2003</v>
      </c>
      <c r="E44" s="3" t="s">
        <v>2006</v>
      </c>
      <c r="G44" t="s">
        <v>98</v>
      </c>
      <c r="H44" t="s">
        <v>153</v>
      </c>
      <c r="I44" t="s">
        <v>26</v>
      </c>
      <c r="J44" t="s">
        <v>99</v>
      </c>
      <c r="K44" t="s">
        <v>46</v>
      </c>
      <c r="L44" t="s">
        <v>28</v>
      </c>
      <c r="M44" t="s">
        <v>29</v>
      </c>
      <c r="N44" t="str">
        <f>+VLOOKUP(A44,[1]Buscador!$B:$E,4,0)</f>
        <v>Guayaquil</v>
      </c>
      <c r="O44" t="str">
        <f>+VLOOKUP(A44,[1]Buscador!$B:$F,5,0)</f>
        <v>Guayas</v>
      </c>
      <c r="P44" t="s">
        <v>153</v>
      </c>
      <c r="S44" t="s">
        <v>32</v>
      </c>
      <c r="T44" t="s">
        <v>33</v>
      </c>
      <c r="U44" t="s">
        <v>1026</v>
      </c>
      <c r="V44" t="s">
        <v>153</v>
      </c>
      <c r="W44" t="s">
        <v>1082</v>
      </c>
      <c r="X44" t="s">
        <v>1083</v>
      </c>
      <c r="Y44" t="s">
        <v>1084</v>
      </c>
      <c r="Z44" t="s">
        <v>1085</v>
      </c>
      <c r="AA44">
        <v>-2.2512463482</v>
      </c>
      <c r="AB44">
        <v>-79.884848395899994</v>
      </c>
      <c r="AC44">
        <v>0</v>
      </c>
      <c r="AD44">
        <f>+VLOOKUP(L44,Evalua!$G$2:$H$12,2,0)</f>
        <v>1</v>
      </c>
      <c r="AE44">
        <f>+VLOOKUP(M44,Evalua!$G$2:$H$12,2,0)</f>
        <v>2</v>
      </c>
    </row>
    <row r="45" spans="1:31" hidden="1" x14ac:dyDescent="0.2">
      <c r="A45" s="1" t="s">
        <v>1106</v>
      </c>
      <c r="B45" t="s">
        <v>1051</v>
      </c>
      <c r="C45" t="s">
        <v>2030</v>
      </c>
      <c r="D45" t="s">
        <v>2003</v>
      </c>
      <c r="E45" s="3" t="s">
        <v>1998</v>
      </c>
      <c r="G45" t="s">
        <v>98</v>
      </c>
      <c r="H45" t="s">
        <v>153</v>
      </c>
      <c r="I45" t="s">
        <v>26</v>
      </c>
      <c r="J45" t="s">
        <v>99</v>
      </c>
      <c r="K45" t="s">
        <v>46</v>
      </c>
      <c r="L45" t="s">
        <v>81</v>
      </c>
      <c r="M45" t="s">
        <v>29</v>
      </c>
      <c r="N45" t="str">
        <f>+VLOOKUP(A45,[1]Buscador!$B:$E,4,0)</f>
        <v>Guayaquil</v>
      </c>
      <c r="O45" t="str">
        <f>+VLOOKUP(A45,[1]Buscador!$B:$F,5,0)</f>
        <v>Guayas</v>
      </c>
      <c r="P45" t="s">
        <v>31</v>
      </c>
      <c r="S45" t="s">
        <v>82</v>
      </c>
      <c r="T45" t="s">
        <v>83</v>
      </c>
      <c r="U45" t="s">
        <v>1051</v>
      </c>
      <c r="V45" t="s">
        <v>153</v>
      </c>
      <c r="W45" t="s">
        <v>1107</v>
      </c>
      <c r="X45" t="s">
        <v>1108</v>
      </c>
      <c r="Y45" t="s">
        <v>1109</v>
      </c>
      <c r="Z45" t="s">
        <v>1110</v>
      </c>
      <c r="AA45">
        <v>-2.1950347617000001</v>
      </c>
      <c r="AB45">
        <v>-79.887821864900005</v>
      </c>
      <c r="AC45">
        <v>0</v>
      </c>
      <c r="AD45">
        <f>+VLOOKUP(L45,Evalua!$G$2:$H$12,2,0)</f>
        <v>3</v>
      </c>
      <c r="AE45">
        <f>+VLOOKUP(M45,Evalua!$G$2:$H$12,2,0)</f>
        <v>2</v>
      </c>
    </row>
    <row r="46" spans="1:31" hidden="1" x14ac:dyDescent="0.2">
      <c r="A46" s="1" t="s">
        <v>1050</v>
      </c>
      <c r="B46" t="s">
        <v>996</v>
      </c>
      <c r="E46" s="3" t="s">
        <v>1997</v>
      </c>
      <c r="G46" t="s">
        <v>98</v>
      </c>
      <c r="H46" t="s">
        <v>153</v>
      </c>
      <c r="I46" t="s">
        <v>26</v>
      </c>
      <c r="J46" t="s">
        <v>99</v>
      </c>
      <c r="K46" t="s">
        <v>46</v>
      </c>
      <c r="L46" t="s">
        <v>28</v>
      </c>
      <c r="M46" t="s">
        <v>29</v>
      </c>
      <c r="N46" t="str">
        <f>+VLOOKUP(A46,[1]Buscador!$B:$E,4,0)</f>
        <v>Durán</v>
      </c>
      <c r="O46" t="str">
        <f>+VLOOKUP(A46,[1]Buscador!$B:$F,5,0)</f>
        <v>Guayas</v>
      </c>
      <c r="P46" t="s">
        <v>31</v>
      </c>
      <c r="S46" t="s">
        <v>32</v>
      </c>
      <c r="T46" t="s">
        <v>33</v>
      </c>
      <c r="U46" t="s">
        <v>996</v>
      </c>
      <c r="V46" t="s">
        <v>153</v>
      </c>
      <c r="W46" t="s">
        <v>1051</v>
      </c>
      <c r="X46" t="s">
        <v>1052</v>
      </c>
      <c r="Y46" t="s">
        <v>1053</v>
      </c>
      <c r="Z46" t="s">
        <v>1054</v>
      </c>
      <c r="AA46">
        <v>-2.1704007385000001</v>
      </c>
      <c r="AB46">
        <v>-79.852365835000001</v>
      </c>
      <c r="AC46">
        <v>0</v>
      </c>
      <c r="AD46">
        <f>+VLOOKUP(L46,Evalua!$G$2:$H$12,2,0)</f>
        <v>1</v>
      </c>
      <c r="AE46">
        <f>+VLOOKUP(M46,Evalua!$G$2:$H$12,2,0)</f>
        <v>2</v>
      </c>
    </row>
    <row r="47" spans="1:31" hidden="1" x14ac:dyDescent="0.2">
      <c r="A47" s="1" t="s">
        <v>281</v>
      </c>
      <c r="B47" t="s">
        <v>224</v>
      </c>
      <c r="C47" t="s">
        <v>2028</v>
      </c>
      <c r="D47" t="s">
        <v>1990</v>
      </c>
      <c r="E47" s="3" t="s">
        <v>1997</v>
      </c>
      <c r="G47" t="s">
        <v>98</v>
      </c>
      <c r="H47" t="s">
        <v>153</v>
      </c>
      <c r="I47" t="s">
        <v>26</v>
      </c>
      <c r="J47" t="s">
        <v>99</v>
      </c>
      <c r="K47" t="s">
        <v>46</v>
      </c>
      <c r="L47" t="s">
        <v>28</v>
      </c>
      <c r="M47" t="s">
        <v>29</v>
      </c>
      <c r="N47" t="str">
        <f>+VLOOKUP(A47,[1]Buscador!$B:$E,4,0)</f>
        <v>Guayaquil</v>
      </c>
      <c r="O47" t="str">
        <f>+VLOOKUP(A47,[1]Buscador!$B:$F,5,0)</f>
        <v>Guayas</v>
      </c>
      <c r="P47" t="s">
        <v>153</v>
      </c>
      <c r="S47" t="s">
        <v>32</v>
      </c>
      <c r="T47" t="s">
        <v>33</v>
      </c>
      <c r="U47" t="s">
        <v>224</v>
      </c>
      <c r="V47" t="s">
        <v>153</v>
      </c>
      <c r="W47" t="s">
        <v>282</v>
      </c>
      <c r="X47" t="s">
        <v>283</v>
      </c>
      <c r="Y47" t="s">
        <v>284</v>
      </c>
      <c r="Z47" t="s">
        <v>285</v>
      </c>
      <c r="AA47">
        <v>-2.1975819992000001</v>
      </c>
      <c r="AB47">
        <v>-79.880894022999996</v>
      </c>
      <c r="AC47">
        <v>0</v>
      </c>
      <c r="AD47">
        <f>+VLOOKUP(L47,Evalua!$G$2:$H$12,2,0)</f>
        <v>1</v>
      </c>
      <c r="AE47">
        <f>+VLOOKUP(M47,Evalua!$G$2:$H$12,2,0)</f>
        <v>2</v>
      </c>
    </row>
    <row r="48" spans="1:31" hidden="1" x14ac:dyDescent="0.2">
      <c r="A48" s="1" t="s">
        <v>573</v>
      </c>
      <c r="B48" t="s">
        <v>518</v>
      </c>
      <c r="E48" s="3" t="s">
        <v>1998</v>
      </c>
      <c r="G48" t="s">
        <v>98</v>
      </c>
      <c r="H48" t="s">
        <v>153</v>
      </c>
      <c r="I48" t="s">
        <v>26</v>
      </c>
      <c r="J48" t="s">
        <v>99</v>
      </c>
      <c r="K48" t="s">
        <v>46</v>
      </c>
      <c r="L48" t="s">
        <v>28</v>
      </c>
      <c r="M48" t="s">
        <v>29</v>
      </c>
      <c r="N48" t="str">
        <f>+VLOOKUP(A48,[1]Buscador!$B:$E,4,0)</f>
        <v>Guayaquil</v>
      </c>
      <c r="O48" t="str">
        <f>+VLOOKUP(A48,[1]Buscador!$B:$F,5,0)</f>
        <v>Guayas</v>
      </c>
      <c r="P48" t="s">
        <v>31</v>
      </c>
      <c r="S48" t="s">
        <v>32</v>
      </c>
      <c r="T48" t="s">
        <v>33</v>
      </c>
      <c r="U48" t="s">
        <v>518</v>
      </c>
      <c r="V48" t="s">
        <v>153</v>
      </c>
      <c r="W48" t="s">
        <v>574</v>
      </c>
      <c r="X48" t="s">
        <v>575</v>
      </c>
      <c r="Y48" t="s">
        <v>576</v>
      </c>
      <c r="Z48" t="s">
        <v>577</v>
      </c>
      <c r="AA48">
        <v>-2.1829241009999998</v>
      </c>
      <c r="AB48">
        <v>-79.881410434499998</v>
      </c>
      <c r="AC48">
        <v>0</v>
      </c>
      <c r="AD48">
        <f>+VLOOKUP(L48,Evalua!$G$2:$H$12,2,0)</f>
        <v>1</v>
      </c>
      <c r="AE48">
        <f>+VLOOKUP(M48,Evalua!$G$2:$H$12,2,0)</f>
        <v>2</v>
      </c>
    </row>
    <row r="49" spans="1:31" hidden="1" x14ac:dyDescent="0.2">
      <c r="A49" s="1" t="s">
        <v>1839</v>
      </c>
      <c r="B49" t="s">
        <v>1840</v>
      </c>
      <c r="D49" t="s">
        <v>1996</v>
      </c>
      <c r="E49" t="s">
        <v>1997</v>
      </c>
      <c r="G49" t="s">
        <v>58</v>
      </c>
      <c r="H49" t="s">
        <v>153</v>
      </c>
      <c r="I49" t="s">
        <v>26</v>
      </c>
      <c r="J49" t="s">
        <v>2</v>
      </c>
      <c r="K49" t="s">
        <v>46</v>
      </c>
      <c r="L49" t="s">
        <v>28</v>
      </c>
      <c r="M49" t="s">
        <v>29</v>
      </c>
      <c r="N49" t="str">
        <f>+VLOOKUP(A49,[1]Buscador!$B:$E,4,0)</f>
        <v>Guayaquil</v>
      </c>
      <c r="O49" t="str">
        <f>+VLOOKUP(A49,[1]Buscador!$B:$F,5,0)</f>
        <v>Guayas</v>
      </c>
      <c r="P49" t="s">
        <v>31</v>
      </c>
      <c r="S49" t="s">
        <v>32</v>
      </c>
      <c r="T49" t="s">
        <v>33</v>
      </c>
      <c r="U49" t="s">
        <v>1538</v>
      </c>
      <c r="V49" t="s">
        <v>153</v>
      </c>
      <c r="X49" t="s">
        <v>1841</v>
      </c>
      <c r="Z49" t="s">
        <v>1962</v>
      </c>
      <c r="AA49">
        <v>-2.1426674740639</v>
      </c>
      <c r="AB49">
        <v>-79.879234608459001</v>
      </c>
      <c r="AC49">
        <v>0</v>
      </c>
      <c r="AD49">
        <f>+VLOOKUP(L49,Evalua!$G$2:$H$12,2,0)</f>
        <v>1</v>
      </c>
      <c r="AE49">
        <f>+VLOOKUP(M49,Evalua!$G$2:$H$12,2,0)</f>
        <v>2</v>
      </c>
    </row>
    <row r="50" spans="1:31" hidden="1" x14ac:dyDescent="0.2">
      <c r="A50" s="1" t="s">
        <v>1717</v>
      </c>
      <c r="B50" t="s">
        <v>1718</v>
      </c>
      <c r="D50" t="s">
        <v>2002</v>
      </c>
      <c r="E50" t="s">
        <v>2006</v>
      </c>
      <c r="G50" t="s">
        <v>1445</v>
      </c>
      <c r="H50" t="s">
        <v>153</v>
      </c>
      <c r="I50" t="s">
        <v>26</v>
      </c>
      <c r="J50" t="s">
        <v>2</v>
      </c>
      <c r="K50" t="s">
        <v>46</v>
      </c>
      <c r="L50" t="s">
        <v>28</v>
      </c>
      <c r="M50" t="s">
        <v>29</v>
      </c>
      <c r="N50" t="str">
        <f>+VLOOKUP(A50,[1]Buscador!$B:$E,4,0)</f>
        <v>Guayaquil</v>
      </c>
      <c r="O50" t="str">
        <f>+VLOOKUP(A50,[1]Buscador!$B:$F,5,0)</f>
        <v>Guayas</v>
      </c>
      <c r="P50" t="s">
        <v>31</v>
      </c>
      <c r="S50" t="s">
        <v>32</v>
      </c>
      <c r="T50" t="s">
        <v>33</v>
      </c>
      <c r="U50" t="s">
        <v>1445</v>
      </c>
      <c r="V50" t="s">
        <v>153</v>
      </c>
      <c r="X50" t="s">
        <v>1719</v>
      </c>
      <c r="Z50" t="s">
        <v>1946</v>
      </c>
      <c r="AA50">
        <v>-2.2766347583468001</v>
      </c>
      <c r="AB50">
        <v>-79.907462393849002</v>
      </c>
      <c r="AC50">
        <v>0</v>
      </c>
      <c r="AD50">
        <f>+VLOOKUP(L50,Evalua!$G$2:$H$12,2,0)</f>
        <v>1</v>
      </c>
      <c r="AE50">
        <f>+VLOOKUP(M50,Evalua!$G$2:$H$12,2,0)</f>
        <v>2</v>
      </c>
    </row>
    <row r="51" spans="1:31" hidden="1" x14ac:dyDescent="0.2">
      <c r="A51" s="1" t="s">
        <v>856</v>
      </c>
      <c r="B51" t="s">
        <v>802</v>
      </c>
      <c r="D51" t="s">
        <v>2002</v>
      </c>
      <c r="E51" t="s">
        <v>1997</v>
      </c>
      <c r="G51" t="s">
        <v>98</v>
      </c>
      <c r="H51" t="s">
        <v>153</v>
      </c>
      <c r="I51" t="s">
        <v>26</v>
      </c>
      <c r="J51" t="s">
        <v>99</v>
      </c>
      <c r="K51" t="s">
        <v>46</v>
      </c>
      <c r="L51" t="s">
        <v>28</v>
      </c>
      <c r="M51" t="s">
        <v>29</v>
      </c>
      <c r="N51" t="str">
        <f>+VLOOKUP(A51,[1]Buscador!$B:$E,4,0)</f>
        <v>Samborondón</v>
      </c>
      <c r="O51" t="str">
        <f>+VLOOKUP(A51,[1]Buscador!$B:$F,5,0)</f>
        <v>Guayas</v>
      </c>
      <c r="P51" t="s">
        <v>31</v>
      </c>
      <c r="S51" t="s">
        <v>32</v>
      </c>
      <c r="T51" t="s">
        <v>33</v>
      </c>
      <c r="U51" t="s">
        <v>802</v>
      </c>
      <c r="V51" t="s">
        <v>153</v>
      </c>
      <c r="W51" t="s">
        <v>857</v>
      </c>
      <c r="X51" t="s">
        <v>858</v>
      </c>
      <c r="Y51" t="s">
        <v>859</v>
      </c>
      <c r="Z51" t="s">
        <v>860</v>
      </c>
      <c r="AA51">
        <v>-2.1435173280000002</v>
      </c>
      <c r="AB51">
        <v>-79.864226203699999</v>
      </c>
      <c r="AC51">
        <v>0</v>
      </c>
      <c r="AD51">
        <f>+VLOOKUP(L51,Evalua!$G$2:$H$12,2,0)</f>
        <v>1</v>
      </c>
      <c r="AE51">
        <f>+VLOOKUP(M51,Evalua!$G$2:$H$12,2,0)</f>
        <v>2</v>
      </c>
    </row>
    <row r="52" spans="1:31" hidden="1" x14ac:dyDescent="0.2">
      <c r="A52" s="1" t="s">
        <v>623</v>
      </c>
      <c r="B52" t="s">
        <v>569</v>
      </c>
      <c r="G52" t="s">
        <v>98</v>
      </c>
      <c r="H52" t="s">
        <v>153</v>
      </c>
      <c r="I52" t="s">
        <v>26</v>
      </c>
      <c r="J52" t="s">
        <v>99</v>
      </c>
      <c r="K52" t="s">
        <v>27</v>
      </c>
      <c r="L52" t="s">
        <v>28</v>
      </c>
      <c r="M52" t="s">
        <v>160</v>
      </c>
      <c r="N52" t="str">
        <f>+VLOOKUP(A52,[1]Buscador!$B:$E,4,0)</f>
        <v>Quito</v>
      </c>
      <c r="O52" t="str">
        <f>+VLOOKUP(A52,[1]Buscador!$B:$F,5,0)</f>
        <v>Pichincha</v>
      </c>
      <c r="P52" t="s">
        <v>153</v>
      </c>
      <c r="S52" t="s">
        <v>162</v>
      </c>
      <c r="T52" t="s">
        <v>83</v>
      </c>
      <c r="U52" t="s">
        <v>569</v>
      </c>
      <c r="V52" t="s">
        <v>153</v>
      </c>
      <c r="W52" t="s">
        <v>624</v>
      </c>
      <c r="X52" t="s">
        <v>625</v>
      </c>
      <c r="Y52" t="s">
        <v>626</v>
      </c>
      <c r="Z52" t="s">
        <v>627</v>
      </c>
      <c r="AA52">
        <v>-0.14439099999999999</v>
      </c>
      <c r="AB52">
        <v>-78.481917999999993</v>
      </c>
      <c r="AC52">
        <v>0</v>
      </c>
      <c r="AD52">
        <f>+VLOOKUP(L52,Evalua!$G$2:$H$12,2,0)</f>
        <v>1</v>
      </c>
      <c r="AE52">
        <f>+VLOOKUP(M52,Evalua!$G$2:$H$12,2,0)</f>
        <v>1</v>
      </c>
    </row>
    <row r="53" spans="1:31" hidden="1" x14ac:dyDescent="0.2">
      <c r="A53" s="1" t="s">
        <v>1867</v>
      </c>
      <c r="B53" t="s">
        <v>1868</v>
      </c>
      <c r="D53" t="s">
        <v>2003</v>
      </c>
      <c r="E53" t="s">
        <v>1997</v>
      </c>
      <c r="G53" t="s">
        <v>1475</v>
      </c>
      <c r="H53" t="s">
        <v>153</v>
      </c>
      <c r="I53" t="s">
        <v>26</v>
      </c>
      <c r="J53" t="s">
        <v>2</v>
      </c>
      <c r="K53" t="s">
        <v>46</v>
      </c>
      <c r="L53" t="s">
        <v>81</v>
      </c>
      <c r="M53" t="s">
        <v>29</v>
      </c>
      <c r="N53" t="str">
        <f>+VLOOKUP(A53,[1]Buscador!$B:$E,4,0)</f>
        <v>Guayaquil</v>
      </c>
      <c r="O53" t="str">
        <f>+VLOOKUP(A53,[1]Buscador!$B:$F,5,0)</f>
        <v>Guayas</v>
      </c>
      <c r="P53" t="s">
        <v>31</v>
      </c>
      <c r="S53" t="s">
        <v>82</v>
      </c>
      <c r="T53" t="s">
        <v>83</v>
      </c>
      <c r="U53" t="s">
        <v>1564</v>
      </c>
      <c r="V53" t="s">
        <v>153</v>
      </c>
      <c r="X53" t="s">
        <v>1869</v>
      </c>
      <c r="Z53" t="s">
        <v>1966</v>
      </c>
      <c r="AA53">
        <v>-2.175465</v>
      </c>
      <c r="AB53">
        <v>-79.904724999999999</v>
      </c>
      <c r="AC53">
        <v>0</v>
      </c>
      <c r="AD53">
        <f>+VLOOKUP(L53,Evalua!$G$2:$H$12,2,0)</f>
        <v>3</v>
      </c>
      <c r="AE53">
        <f>+VLOOKUP(M53,Evalua!$G$2:$H$12,2,0)</f>
        <v>2</v>
      </c>
    </row>
    <row r="54" spans="1:31" hidden="1" x14ac:dyDescent="0.2">
      <c r="A54" s="1" t="s">
        <v>866</v>
      </c>
      <c r="B54" t="s">
        <v>812</v>
      </c>
      <c r="E54" s="3" t="s">
        <v>1997</v>
      </c>
      <c r="G54" t="s">
        <v>98</v>
      </c>
      <c r="H54" t="s">
        <v>153</v>
      </c>
      <c r="I54" t="s">
        <v>26</v>
      </c>
      <c r="J54" t="s">
        <v>99</v>
      </c>
      <c r="K54" t="s">
        <v>46</v>
      </c>
      <c r="L54" t="s">
        <v>28</v>
      </c>
      <c r="M54" t="s">
        <v>29</v>
      </c>
      <c r="N54" t="str">
        <f>+VLOOKUP(A54,[1]Buscador!$B:$E,4,0)</f>
        <v>Guayaquil</v>
      </c>
      <c r="O54" t="str">
        <f>+VLOOKUP(A54,[1]Buscador!$B:$F,5,0)</f>
        <v>Guayas</v>
      </c>
      <c r="P54" t="s">
        <v>153</v>
      </c>
      <c r="S54" t="s">
        <v>32</v>
      </c>
      <c r="T54" t="s">
        <v>33</v>
      </c>
      <c r="U54" t="s">
        <v>812</v>
      </c>
      <c r="V54" t="s">
        <v>153</v>
      </c>
      <c r="W54" t="s">
        <v>867</v>
      </c>
      <c r="X54" t="s">
        <v>868</v>
      </c>
      <c r="Y54" t="s">
        <v>869</v>
      </c>
      <c r="Z54" t="s">
        <v>870</v>
      </c>
      <c r="AA54">
        <v>-2.1456054263</v>
      </c>
      <c r="AB54">
        <v>-79.894860542299995</v>
      </c>
      <c r="AC54">
        <v>0</v>
      </c>
      <c r="AD54">
        <f>+VLOOKUP(L54,Evalua!$G$2:$H$12,2,0)</f>
        <v>1</v>
      </c>
      <c r="AE54">
        <f>+VLOOKUP(M54,Evalua!$G$2:$H$12,2,0)</f>
        <v>2</v>
      </c>
    </row>
    <row r="55" spans="1:31" hidden="1" x14ac:dyDescent="0.2">
      <c r="A55" s="1" t="s">
        <v>1842</v>
      </c>
      <c r="B55" t="s">
        <v>1843</v>
      </c>
      <c r="D55" t="s">
        <v>1996</v>
      </c>
      <c r="E55" t="s">
        <v>1997</v>
      </c>
      <c r="G55" t="s">
        <v>58</v>
      </c>
      <c r="H55" t="s">
        <v>153</v>
      </c>
      <c r="I55" t="s">
        <v>26</v>
      </c>
      <c r="J55" t="s">
        <v>2</v>
      </c>
      <c r="K55" t="s">
        <v>46</v>
      </c>
      <c r="L55" t="s">
        <v>28</v>
      </c>
      <c r="M55" t="s">
        <v>29</v>
      </c>
      <c r="N55" t="str">
        <f>+VLOOKUP(A55,[1]Buscador!$B:$E,4,0)</f>
        <v>Guayaquil</v>
      </c>
      <c r="O55" t="str">
        <f>+VLOOKUP(A55,[1]Buscador!$B:$F,5,0)</f>
        <v>Guayas</v>
      </c>
      <c r="P55" t="s">
        <v>31</v>
      </c>
      <c r="S55" t="s">
        <v>32</v>
      </c>
      <c r="T55" t="s">
        <v>33</v>
      </c>
      <c r="U55" t="s">
        <v>1538</v>
      </c>
      <c r="V55" t="s">
        <v>153</v>
      </c>
      <c r="X55" t="s">
        <v>1844</v>
      </c>
      <c r="Z55" t="s">
        <v>1962</v>
      </c>
      <c r="AA55">
        <v>-2.1426674740639</v>
      </c>
      <c r="AB55">
        <v>-79.879234608459001</v>
      </c>
      <c r="AC55">
        <v>0</v>
      </c>
      <c r="AD55">
        <f>+VLOOKUP(L55,Evalua!$G$2:$H$12,2,0)</f>
        <v>1</v>
      </c>
      <c r="AE55">
        <f>+VLOOKUP(M55,Evalua!$G$2:$H$12,2,0)</f>
        <v>2</v>
      </c>
    </row>
    <row r="56" spans="1:31" hidden="1" x14ac:dyDescent="0.2">
      <c r="A56" s="1" t="s">
        <v>1674</v>
      </c>
      <c r="B56" t="s">
        <v>1675</v>
      </c>
      <c r="D56" t="s">
        <v>2002</v>
      </c>
      <c r="E56" t="s">
        <v>1997</v>
      </c>
      <c r="G56" t="s">
        <v>1676</v>
      </c>
      <c r="H56" t="s">
        <v>153</v>
      </c>
      <c r="I56" t="s">
        <v>26</v>
      </c>
      <c r="J56" t="s">
        <v>2</v>
      </c>
      <c r="K56" t="s">
        <v>46</v>
      </c>
      <c r="L56" t="s">
        <v>28</v>
      </c>
      <c r="M56" t="s">
        <v>29</v>
      </c>
      <c r="N56" t="str">
        <f>+VLOOKUP(A56,[1]Buscador!$B:$E,4,0)</f>
        <v>Durán</v>
      </c>
      <c r="O56" t="str">
        <f>+VLOOKUP(A56,[1]Buscador!$B:$F,5,0)</f>
        <v>Guayas</v>
      </c>
      <c r="P56" t="s">
        <v>31</v>
      </c>
      <c r="S56" t="s">
        <v>32</v>
      </c>
      <c r="T56" t="s">
        <v>33</v>
      </c>
      <c r="U56" t="s">
        <v>1410</v>
      </c>
      <c r="V56" t="s">
        <v>153</v>
      </c>
      <c r="X56" t="s">
        <v>1677</v>
      </c>
      <c r="Z56" t="s">
        <v>1939</v>
      </c>
      <c r="AA56">
        <v>-2.1775213265339999</v>
      </c>
      <c r="AB56">
        <v>-79.825584041664001</v>
      </c>
      <c r="AC56">
        <v>0</v>
      </c>
      <c r="AD56">
        <f>+VLOOKUP(L56,Evalua!$G$2:$H$12,2,0)</f>
        <v>1</v>
      </c>
      <c r="AE56">
        <f>+VLOOKUP(M56,Evalua!$G$2:$H$12,2,0)</f>
        <v>2</v>
      </c>
    </row>
    <row r="57" spans="1:31" hidden="1" x14ac:dyDescent="0.2">
      <c r="A57" s="1" t="s">
        <v>1875</v>
      </c>
      <c r="B57" t="s">
        <v>1876</v>
      </c>
      <c r="D57" t="s">
        <v>2013</v>
      </c>
      <c r="E57" t="s">
        <v>2012</v>
      </c>
      <c r="G57" t="s">
        <v>1877</v>
      </c>
      <c r="H57" t="s">
        <v>153</v>
      </c>
      <c r="I57" t="s">
        <v>26</v>
      </c>
      <c r="J57" t="s">
        <v>2</v>
      </c>
      <c r="K57" t="s">
        <v>46</v>
      </c>
      <c r="L57" t="s">
        <v>81</v>
      </c>
      <c r="M57" t="s">
        <v>29</v>
      </c>
      <c r="N57" t="str">
        <f>+VLOOKUP(A57,[1]Buscador!$B:$E,4,0)</f>
        <v>Guayaquil</v>
      </c>
      <c r="O57" t="str">
        <f>+VLOOKUP(A57,[1]Buscador!$B:$F,5,0)</f>
        <v>Guayas</v>
      </c>
      <c r="P57" t="s">
        <v>31</v>
      </c>
      <c r="S57" t="s">
        <v>82</v>
      </c>
      <c r="T57" t="s">
        <v>83</v>
      </c>
      <c r="U57" t="s">
        <v>1568</v>
      </c>
      <c r="V57" t="s">
        <v>153</v>
      </c>
      <c r="X57" t="s">
        <v>1878</v>
      </c>
      <c r="Z57" t="s">
        <v>1967</v>
      </c>
      <c r="AA57">
        <v>-2.1000865084670299</v>
      </c>
      <c r="AB57">
        <v>-79.936061564144794</v>
      </c>
      <c r="AC57">
        <v>0</v>
      </c>
      <c r="AD57">
        <f>+VLOOKUP(L57,Evalua!$G$2:$H$12,2,0)</f>
        <v>3</v>
      </c>
      <c r="AE57">
        <f>+VLOOKUP(M57,Evalua!$G$2:$H$12,2,0)</f>
        <v>2</v>
      </c>
    </row>
    <row r="58" spans="1:31" hidden="1" x14ac:dyDescent="0.2">
      <c r="A58" s="1" t="s">
        <v>458</v>
      </c>
      <c r="B58" t="s">
        <v>402</v>
      </c>
      <c r="E58" s="3" t="s">
        <v>2000</v>
      </c>
      <c r="G58" t="s">
        <v>98</v>
      </c>
      <c r="H58" t="s">
        <v>153</v>
      </c>
      <c r="I58" t="s">
        <v>26</v>
      </c>
      <c r="J58" t="s">
        <v>99</v>
      </c>
      <c r="K58" t="s">
        <v>46</v>
      </c>
      <c r="L58" t="s">
        <v>28</v>
      </c>
      <c r="M58" t="s">
        <v>29</v>
      </c>
      <c r="N58" t="str">
        <f>+VLOOKUP(A58,[1]Buscador!$B:$E,4,0)</f>
        <v>Guayaquil</v>
      </c>
      <c r="O58" t="str">
        <f>+VLOOKUP(A58,[1]Buscador!$B:$F,5,0)</f>
        <v>Guayas</v>
      </c>
      <c r="P58" t="s">
        <v>153</v>
      </c>
      <c r="S58" t="s">
        <v>32</v>
      </c>
      <c r="T58" t="s">
        <v>33</v>
      </c>
      <c r="U58" t="s">
        <v>402</v>
      </c>
      <c r="V58" t="s">
        <v>153</v>
      </c>
      <c r="W58" t="s">
        <v>459</v>
      </c>
      <c r="X58" t="s">
        <v>460</v>
      </c>
      <c r="Y58" t="s">
        <v>461</v>
      </c>
      <c r="Z58" t="s">
        <v>462</v>
      </c>
      <c r="AA58">
        <v>-2.1288149999999999</v>
      </c>
      <c r="AB58">
        <v>-79.936049999999994</v>
      </c>
      <c r="AC58">
        <v>0</v>
      </c>
      <c r="AD58">
        <f>+VLOOKUP(L58,Evalua!$G$2:$H$12,2,0)</f>
        <v>1</v>
      </c>
      <c r="AE58">
        <f>+VLOOKUP(M58,Evalua!$G$2:$H$12,2,0)</f>
        <v>2</v>
      </c>
    </row>
    <row r="59" spans="1:31" hidden="1" x14ac:dyDescent="0.2">
      <c r="A59" s="1" t="s">
        <v>1319</v>
      </c>
      <c r="B59" t="s">
        <v>1320</v>
      </c>
      <c r="D59" t="s">
        <v>2002</v>
      </c>
      <c r="E59" t="s">
        <v>2001</v>
      </c>
      <c r="G59" t="s">
        <v>1309</v>
      </c>
      <c r="H59" t="s">
        <v>153</v>
      </c>
      <c r="I59" t="s">
        <v>26</v>
      </c>
      <c r="J59" t="s">
        <v>2</v>
      </c>
      <c r="K59" t="s">
        <v>46</v>
      </c>
      <c r="L59" t="s">
        <v>28</v>
      </c>
      <c r="M59" t="s">
        <v>29</v>
      </c>
      <c r="N59" t="str">
        <f>+VLOOKUP(A59,[1]Buscador!$B:$E,4,0)</f>
        <v>Guayaquil</v>
      </c>
      <c r="O59" t="str">
        <f>+VLOOKUP(A59,[1]Buscador!$B:$F,5,0)</f>
        <v>Guayas</v>
      </c>
      <c r="P59" t="s">
        <v>31</v>
      </c>
      <c r="S59" t="s">
        <v>32</v>
      </c>
      <c r="T59" t="s">
        <v>33</v>
      </c>
      <c r="U59" t="s">
        <v>1208</v>
      </c>
      <c r="V59" t="s">
        <v>153</v>
      </c>
      <c r="W59" t="s">
        <v>1321</v>
      </c>
      <c r="X59" t="s">
        <v>1322</v>
      </c>
      <c r="Y59" t="s">
        <v>1323</v>
      </c>
      <c r="Z59" t="s">
        <v>1313</v>
      </c>
      <c r="AA59">
        <v>-2.1901574203999998</v>
      </c>
      <c r="AB59">
        <v>-79.879891601500006</v>
      </c>
      <c r="AC59">
        <v>0</v>
      </c>
      <c r="AD59">
        <f>+VLOOKUP(L59,Evalua!$G$2:$H$12,2,0)</f>
        <v>1</v>
      </c>
      <c r="AE59">
        <f>+VLOOKUP(M59,Evalua!$G$2:$H$12,2,0)</f>
        <v>2</v>
      </c>
    </row>
    <row r="60" spans="1:31" hidden="1" x14ac:dyDescent="0.2">
      <c r="A60" s="1" t="s">
        <v>1324</v>
      </c>
      <c r="B60" t="s">
        <v>1325</v>
      </c>
      <c r="D60" t="s">
        <v>2002</v>
      </c>
      <c r="E60" t="s">
        <v>2001</v>
      </c>
      <c r="G60" t="s">
        <v>1309</v>
      </c>
      <c r="H60" t="s">
        <v>153</v>
      </c>
      <c r="I60" t="s">
        <v>26</v>
      </c>
      <c r="J60" t="s">
        <v>2</v>
      </c>
      <c r="K60" t="s">
        <v>46</v>
      </c>
      <c r="L60" t="s">
        <v>28</v>
      </c>
      <c r="M60" t="s">
        <v>29</v>
      </c>
      <c r="N60" t="str">
        <f>+VLOOKUP(A60,[1]Buscador!$B:$E,4,0)</f>
        <v>Guayaquil</v>
      </c>
      <c r="O60" t="str">
        <f>+VLOOKUP(A60,[1]Buscador!$B:$F,5,0)</f>
        <v>Guayas</v>
      </c>
      <c r="P60" t="s">
        <v>31</v>
      </c>
      <c r="S60" t="s">
        <v>32</v>
      </c>
      <c r="T60" t="s">
        <v>33</v>
      </c>
      <c r="U60" t="s">
        <v>1208</v>
      </c>
      <c r="V60" t="s">
        <v>153</v>
      </c>
      <c r="W60" t="s">
        <v>1326</v>
      </c>
      <c r="X60" t="s">
        <v>1327</v>
      </c>
      <c r="Y60" t="s">
        <v>1328</v>
      </c>
      <c r="Z60" t="s">
        <v>1313</v>
      </c>
      <c r="AA60">
        <v>-2.1901574203999998</v>
      </c>
      <c r="AB60">
        <v>-79.879891601500006</v>
      </c>
      <c r="AC60">
        <v>0</v>
      </c>
      <c r="AD60">
        <f>+VLOOKUP(L60,Evalua!$G$2:$H$12,2,0)</f>
        <v>1</v>
      </c>
      <c r="AE60">
        <f>+VLOOKUP(M60,Evalua!$G$2:$H$12,2,0)</f>
        <v>2</v>
      </c>
    </row>
    <row r="61" spans="1:31" hidden="1" x14ac:dyDescent="0.2">
      <c r="A61" s="1" t="s">
        <v>653</v>
      </c>
      <c r="B61" t="s">
        <v>599</v>
      </c>
      <c r="E61" s="3" t="s">
        <v>1997</v>
      </c>
      <c r="G61" t="s">
        <v>98</v>
      </c>
      <c r="H61" t="s">
        <v>153</v>
      </c>
      <c r="I61" t="s">
        <v>26</v>
      </c>
      <c r="J61" t="s">
        <v>99</v>
      </c>
      <c r="K61" t="s">
        <v>46</v>
      </c>
      <c r="L61" t="s">
        <v>81</v>
      </c>
      <c r="M61" t="s">
        <v>160</v>
      </c>
      <c r="N61" t="str">
        <f>+VLOOKUP(A61,[1]Buscador!$B:$E,4,0)</f>
        <v>Guayaquil</v>
      </c>
      <c r="O61" t="str">
        <f>+VLOOKUP(A61,[1]Buscador!$B:$F,5,0)</f>
        <v>Guayas</v>
      </c>
      <c r="P61" t="s">
        <v>153</v>
      </c>
      <c r="S61" t="s">
        <v>208</v>
      </c>
      <c r="T61" t="s">
        <v>126</v>
      </c>
      <c r="U61" t="s">
        <v>599</v>
      </c>
      <c r="V61" t="s">
        <v>153</v>
      </c>
      <c r="W61" t="s">
        <v>654</v>
      </c>
      <c r="X61" t="s">
        <v>655</v>
      </c>
      <c r="Y61" t="s">
        <v>656</v>
      </c>
      <c r="Z61" t="s">
        <v>657</v>
      </c>
      <c r="AA61">
        <v>-2.1573090000000001</v>
      </c>
      <c r="AB61">
        <v>-79.930796999999998</v>
      </c>
      <c r="AC61">
        <v>0</v>
      </c>
      <c r="AD61">
        <f>+VLOOKUP(L61,Evalua!$G$2:$H$12,2,0)</f>
        <v>3</v>
      </c>
      <c r="AE61">
        <f>+VLOOKUP(M61,Evalua!$G$2:$H$12,2,0)</f>
        <v>1</v>
      </c>
    </row>
    <row r="62" spans="1:31" hidden="1" x14ac:dyDescent="0.2">
      <c r="A62" s="1" t="s">
        <v>1162</v>
      </c>
      <c r="B62" t="s">
        <v>1107</v>
      </c>
      <c r="E62" s="3" t="s">
        <v>1997</v>
      </c>
      <c r="G62" t="s">
        <v>98</v>
      </c>
      <c r="H62" t="s">
        <v>153</v>
      </c>
      <c r="I62" t="s">
        <v>26</v>
      </c>
      <c r="J62" t="s">
        <v>99</v>
      </c>
      <c r="K62" t="s">
        <v>46</v>
      </c>
      <c r="L62" t="s">
        <v>28</v>
      </c>
      <c r="M62" t="s">
        <v>29</v>
      </c>
      <c r="N62" t="str">
        <f>+VLOOKUP(A62,[1]Buscador!$B:$E,4,0)</f>
        <v>Guayaquil</v>
      </c>
      <c r="O62" t="str">
        <f>+VLOOKUP(A62,[1]Buscador!$B:$F,5,0)</f>
        <v>Guayas</v>
      </c>
      <c r="P62" t="s">
        <v>153</v>
      </c>
      <c r="S62" t="s">
        <v>32</v>
      </c>
      <c r="T62" t="s">
        <v>33</v>
      </c>
      <c r="U62" t="s">
        <v>1107</v>
      </c>
      <c r="V62" t="s">
        <v>153</v>
      </c>
      <c r="W62" t="s">
        <v>1163</v>
      </c>
      <c r="X62" t="s">
        <v>1164</v>
      </c>
      <c r="Y62" t="s">
        <v>1165</v>
      </c>
      <c r="Z62" t="s">
        <v>1166</v>
      </c>
      <c r="AA62">
        <v>-2.0919182196000001</v>
      </c>
      <c r="AB62">
        <v>-79.903310958899993</v>
      </c>
      <c r="AC62">
        <v>0</v>
      </c>
      <c r="AD62">
        <f>+VLOOKUP(L62,Evalua!$G$2:$H$12,2,0)</f>
        <v>1</v>
      </c>
      <c r="AE62">
        <f>+VLOOKUP(M62,Evalua!$G$2:$H$12,2,0)</f>
        <v>2</v>
      </c>
    </row>
    <row r="63" spans="1:31" hidden="1" x14ac:dyDescent="0.2">
      <c r="A63" s="1" t="s">
        <v>1298</v>
      </c>
      <c r="B63" t="s">
        <v>1299</v>
      </c>
      <c r="D63" t="s">
        <v>2002</v>
      </c>
      <c r="E63" t="s">
        <v>1997</v>
      </c>
      <c r="G63" t="s">
        <v>1293</v>
      </c>
      <c r="H63" t="s">
        <v>153</v>
      </c>
      <c r="I63" t="s">
        <v>26</v>
      </c>
      <c r="J63" t="s">
        <v>2</v>
      </c>
      <c r="K63" t="s">
        <v>46</v>
      </c>
      <c r="L63" t="s">
        <v>28</v>
      </c>
      <c r="M63" t="s">
        <v>29</v>
      </c>
      <c r="N63" t="str">
        <f>+VLOOKUP(A63,[1]Buscador!$B:$E,4,0)</f>
        <v>Guayaquil</v>
      </c>
      <c r="O63" t="str">
        <f>+VLOOKUP(A63,[1]Buscador!$B:$F,5,0)</f>
        <v>Guayas</v>
      </c>
      <c r="P63" t="s">
        <v>153</v>
      </c>
      <c r="S63" t="s">
        <v>32</v>
      </c>
      <c r="T63" t="s">
        <v>33</v>
      </c>
      <c r="U63" t="s">
        <v>1203</v>
      </c>
      <c r="V63" t="s">
        <v>153</v>
      </c>
      <c r="W63" t="s">
        <v>1300</v>
      </c>
      <c r="X63" t="s">
        <v>1301</v>
      </c>
      <c r="Y63" t="s">
        <v>1302</v>
      </c>
      <c r="Z63" t="s">
        <v>1297</v>
      </c>
      <c r="AA63">
        <v>-2.2151156801999998</v>
      </c>
      <c r="AB63">
        <v>-79.889049472400004</v>
      </c>
      <c r="AC63">
        <v>0</v>
      </c>
      <c r="AD63">
        <f>+VLOOKUP(L63,Evalua!$G$2:$H$12,2,0)</f>
        <v>1</v>
      </c>
      <c r="AE63">
        <f>+VLOOKUP(M63,Evalua!$G$2:$H$12,2,0)</f>
        <v>2</v>
      </c>
    </row>
    <row r="64" spans="1:31" hidden="1" x14ac:dyDescent="0.2">
      <c r="A64" s="1" t="s">
        <v>1484</v>
      </c>
      <c r="B64" t="s">
        <v>1485</v>
      </c>
      <c r="D64" t="s">
        <v>1990</v>
      </c>
      <c r="E64" t="s">
        <v>2008</v>
      </c>
      <c r="G64" t="s">
        <v>1475</v>
      </c>
      <c r="H64" t="s">
        <v>153</v>
      </c>
      <c r="I64" t="s">
        <v>26</v>
      </c>
      <c r="J64" t="s">
        <v>2</v>
      </c>
      <c r="K64" t="s">
        <v>46</v>
      </c>
      <c r="L64" t="s">
        <v>28</v>
      </c>
      <c r="M64" t="s">
        <v>29</v>
      </c>
      <c r="N64" t="str">
        <f>+VLOOKUP(A64,[1]Buscador!$B:$E,4,0)</f>
        <v>Guayaquil</v>
      </c>
      <c r="O64" t="str">
        <f>+VLOOKUP(A64,[1]Buscador!$B:$F,5,0)</f>
        <v>Guayas</v>
      </c>
      <c r="P64" t="s">
        <v>153</v>
      </c>
      <c r="S64" t="s">
        <v>32</v>
      </c>
      <c r="T64" t="s">
        <v>33</v>
      </c>
      <c r="U64" t="s">
        <v>1283</v>
      </c>
      <c r="V64" t="s">
        <v>153</v>
      </c>
      <c r="W64" t="s">
        <v>1486</v>
      </c>
      <c r="X64" t="s">
        <v>1487</v>
      </c>
      <c r="Y64" t="s">
        <v>1488</v>
      </c>
      <c r="Z64" t="s">
        <v>1489</v>
      </c>
      <c r="AA64">
        <v>-2.1759177515000001</v>
      </c>
      <c r="AB64">
        <v>-79.884177649700007</v>
      </c>
      <c r="AC64">
        <v>0</v>
      </c>
      <c r="AD64">
        <f>+VLOOKUP(L64,Evalua!$G$2:$H$12,2,0)</f>
        <v>1</v>
      </c>
      <c r="AE64">
        <f>+VLOOKUP(M64,Evalua!$G$2:$H$12,2,0)</f>
        <v>2</v>
      </c>
    </row>
    <row r="65" spans="1:31" hidden="1" x14ac:dyDescent="0.2">
      <c r="A65" s="1" t="s">
        <v>982</v>
      </c>
      <c r="B65" t="s">
        <v>928</v>
      </c>
      <c r="E65" s="3" t="s">
        <v>1997</v>
      </c>
      <c r="G65" t="s">
        <v>98</v>
      </c>
      <c r="H65" t="s">
        <v>1970</v>
      </c>
      <c r="I65" t="s">
        <v>26</v>
      </c>
      <c r="J65" t="s">
        <v>99</v>
      </c>
      <c r="K65" t="s">
        <v>46</v>
      </c>
      <c r="L65" t="s">
        <v>123</v>
      </c>
      <c r="M65" t="s">
        <v>29</v>
      </c>
      <c r="N65" t="str">
        <f>+VLOOKUP(A65,[1]Buscador!$B:$E,4,0)</f>
        <v>Guayaquil</v>
      </c>
      <c r="O65" t="str">
        <f>+VLOOKUP(A65,[1]Buscador!$B:$F,5,0)</f>
        <v>Guayas</v>
      </c>
      <c r="P65" t="s">
        <v>153</v>
      </c>
      <c r="S65" t="s">
        <v>125</v>
      </c>
      <c r="T65" t="s">
        <v>126</v>
      </c>
      <c r="U65" t="s">
        <v>928</v>
      </c>
      <c r="V65" t="s">
        <v>153</v>
      </c>
      <c r="W65" t="s">
        <v>983</v>
      </c>
      <c r="X65" t="s">
        <v>984</v>
      </c>
      <c r="Y65" t="s">
        <v>985</v>
      </c>
      <c r="Z65" t="s">
        <v>986</v>
      </c>
      <c r="AA65">
        <v>-2.1259835368000002</v>
      </c>
      <c r="AB65">
        <v>-79.897769377399996</v>
      </c>
      <c r="AC65">
        <v>0</v>
      </c>
      <c r="AD65">
        <f>+VLOOKUP(L65,Evalua!$G$2:$H$12,2,0)</f>
        <v>4</v>
      </c>
      <c r="AE65">
        <f>+VLOOKUP(M65,Evalua!$G$2:$H$12,2,0)</f>
        <v>2</v>
      </c>
    </row>
    <row r="66" spans="1:31" hidden="1" x14ac:dyDescent="0.2">
      <c r="A66" s="1" t="s">
        <v>1778</v>
      </c>
      <c r="B66" t="s">
        <v>1779</v>
      </c>
      <c r="G66" t="s">
        <v>1780</v>
      </c>
      <c r="H66" t="s">
        <v>153</v>
      </c>
      <c r="I66" t="s">
        <v>26</v>
      </c>
      <c r="J66" t="s">
        <v>2</v>
      </c>
      <c r="K66" t="s">
        <v>159</v>
      </c>
      <c r="L66" t="s">
        <v>28</v>
      </c>
      <c r="M66" t="s">
        <v>29</v>
      </c>
      <c r="N66" t="str">
        <f>+VLOOKUP(A66,[1]Buscador!$B:$E,4,0)</f>
        <v>Cuenca</v>
      </c>
      <c r="O66" t="str">
        <f>+VLOOKUP(A66,[1]Buscador!$B:$F,5,0)</f>
        <v>Azuay</v>
      </c>
      <c r="P66" t="s">
        <v>31</v>
      </c>
      <c r="S66" t="s">
        <v>32</v>
      </c>
      <c r="T66" t="s">
        <v>33</v>
      </c>
      <c r="U66" t="s">
        <v>1491</v>
      </c>
      <c r="V66" t="s">
        <v>153</v>
      </c>
      <c r="X66" t="s">
        <v>1781</v>
      </c>
      <c r="Z66" t="s">
        <v>1955</v>
      </c>
      <c r="AA66">
        <v>-2.8979883430347</v>
      </c>
      <c r="AB66">
        <v>-79.018494097602002</v>
      </c>
      <c r="AC66">
        <v>0</v>
      </c>
      <c r="AD66">
        <f>+VLOOKUP(L66,Evalua!$G$2:$H$12,2,0)</f>
        <v>1</v>
      </c>
      <c r="AE66">
        <f>+VLOOKUP(M66,Evalua!$G$2:$H$12,2,0)</f>
        <v>2</v>
      </c>
    </row>
    <row r="67" spans="1:31" hidden="1" x14ac:dyDescent="0.2">
      <c r="A67" s="1" t="s">
        <v>1784</v>
      </c>
      <c r="B67" t="s">
        <v>1785</v>
      </c>
      <c r="D67" t="s">
        <v>2002</v>
      </c>
      <c r="E67" t="s">
        <v>1997</v>
      </c>
      <c r="G67" t="s">
        <v>1786</v>
      </c>
      <c r="H67" t="s">
        <v>153</v>
      </c>
      <c r="I67" t="s">
        <v>26</v>
      </c>
      <c r="J67" t="s">
        <v>2</v>
      </c>
      <c r="K67" t="s">
        <v>46</v>
      </c>
      <c r="L67" t="s">
        <v>28</v>
      </c>
      <c r="M67" t="s">
        <v>29</v>
      </c>
      <c r="N67" t="str">
        <f>+VLOOKUP(A67,[1]Buscador!$B:$E,4,0)</f>
        <v>Samborondón</v>
      </c>
      <c r="O67" t="str">
        <f>+VLOOKUP(A67,[1]Buscador!$B:$F,5,0)</f>
        <v>Guayas</v>
      </c>
      <c r="P67" t="s">
        <v>153</v>
      </c>
      <c r="S67" t="s">
        <v>32</v>
      </c>
      <c r="T67" t="s">
        <v>33</v>
      </c>
      <c r="U67" t="s">
        <v>1497</v>
      </c>
      <c r="V67" t="s">
        <v>153</v>
      </c>
      <c r="X67" t="s">
        <v>1787</v>
      </c>
      <c r="Z67" t="s">
        <v>1956</v>
      </c>
      <c r="AA67">
        <v>-2.1451959999999999</v>
      </c>
      <c r="AB67">
        <v>-79.863518999999997</v>
      </c>
      <c r="AC67">
        <v>0</v>
      </c>
      <c r="AD67">
        <f>+VLOOKUP(L67,Evalua!$G$2:$H$12,2,0)</f>
        <v>1</v>
      </c>
      <c r="AE67">
        <f>+VLOOKUP(M67,Evalua!$G$2:$H$12,2,0)</f>
        <v>2</v>
      </c>
    </row>
    <row r="68" spans="1:31" hidden="1" x14ac:dyDescent="0.2">
      <c r="A68" s="1" t="s">
        <v>472</v>
      </c>
      <c r="B68" t="s">
        <v>419</v>
      </c>
      <c r="D68" t="s">
        <v>1996</v>
      </c>
      <c r="E68" s="3" t="s">
        <v>2006</v>
      </c>
      <c r="G68" t="s">
        <v>98</v>
      </c>
      <c r="H68" t="s">
        <v>153</v>
      </c>
      <c r="I68" t="s">
        <v>26</v>
      </c>
      <c r="J68" t="s">
        <v>99</v>
      </c>
      <c r="K68" t="s">
        <v>46</v>
      </c>
      <c r="L68" t="s">
        <v>28</v>
      </c>
      <c r="M68" t="s">
        <v>29</v>
      </c>
      <c r="N68" t="str">
        <f>+VLOOKUP(A68,[1]Buscador!$B:$E,4,0)</f>
        <v>Guayaquil</v>
      </c>
      <c r="O68" t="str">
        <f>+VLOOKUP(A68,[1]Buscador!$B:$F,5,0)</f>
        <v>Guayas</v>
      </c>
      <c r="P68" t="s">
        <v>31</v>
      </c>
      <c r="S68" t="s">
        <v>32</v>
      </c>
      <c r="T68" t="s">
        <v>33</v>
      </c>
      <c r="U68" t="s">
        <v>419</v>
      </c>
      <c r="V68" t="s">
        <v>153</v>
      </c>
      <c r="W68" t="s">
        <v>473</v>
      </c>
      <c r="X68" t="s">
        <v>474</v>
      </c>
      <c r="Y68" t="s">
        <v>475</v>
      </c>
      <c r="Z68" t="s">
        <v>476</v>
      </c>
      <c r="AA68">
        <v>-2.2638741159000002</v>
      </c>
      <c r="AB68">
        <v>-79.896355450000001</v>
      </c>
      <c r="AC68">
        <v>0</v>
      </c>
      <c r="AD68">
        <f>+VLOOKUP(L68,Evalua!$G$2:$H$12,2,0)</f>
        <v>1</v>
      </c>
      <c r="AE68">
        <f>+VLOOKUP(M68,Evalua!$G$2:$H$12,2,0)</f>
        <v>2</v>
      </c>
    </row>
    <row r="69" spans="1:31" hidden="1" x14ac:dyDescent="0.2">
      <c r="A69" s="1" t="s">
        <v>1040</v>
      </c>
      <c r="B69" t="s">
        <v>983</v>
      </c>
      <c r="G69" t="s">
        <v>98</v>
      </c>
      <c r="H69" t="s">
        <v>153</v>
      </c>
      <c r="I69" t="s">
        <v>26</v>
      </c>
      <c r="J69" t="s">
        <v>99</v>
      </c>
      <c r="K69" t="s">
        <v>27</v>
      </c>
      <c r="L69" t="s">
        <v>28</v>
      </c>
      <c r="M69" t="s">
        <v>29</v>
      </c>
      <c r="N69" t="str">
        <f>+VLOOKUP(A69,[1]Buscador!$B:$E,4,0)</f>
        <v>Conocoto</v>
      </c>
      <c r="O69" t="str">
        <f>+VLOOKUP(A69,[1]Buscador!$B:$F,5,0)</f>
        <v>Pichincha</v>
      </c>
      <c r="P69" t="s">
        <v>31</v>
      </c>
      <c r="S69" t="s">
        <v>32</v>
      </c>
      <c r="T69" t="s">
        <v>33</v>
      </c>
      <c r="U69" t="s">
        <v>983</v>
      </c>
      <c r="V69" t="s">
        <v>153</v>
      </c>
      <c r="W69" t="s">
        <v>1041</v>
      </c>
      <c r="X69" t="s">
        <v>1042</v>
      </c>
      <c r="Y69" t="s">
        <v>1043</v>
      </c>
      <c r="Z69" t="s">
        <v>1044</v>
      </c>
      <c r="AA69">
        <v>-0.29363</v>
      </c>
      <c r="AB69">
        <v>-78.478886000000003</v>
      </c>
      <c r="AC69">
        <v>0</v>
      </c>
      <c r="AD69">
        <f>+VLOOKUP(L69,Evalua!$G$2:$H$12,2,0)</f>
        <v>1</v>
      </c>
      <c r="AE69">
        <f>+VLOOKUP(M69,Evalua!$G$2:$H$12,2,0)</f>
        <v>2</v>
      </c>
    </row>
    <row r="70" spans="1:31" hidden="1" x14ac:dyDescent="0.2">
      <c r="A70" s="1" t="s">
        <v>1071</v>
      </c>
      <c r="B70" t="s">
        <v>1016</v>
      </c>
      <c r="E70" s="3" t="s">
        <v>1991</v>
      </c>
      <c r="G70" t="s">
        <v>98</v>
      </c>
      <c r="H70" t="s">
        <v>153</v>
      </c>
      <c r="I70" t="s">
        <v>26</v>
      </c>
      <c r="J70" t="s">
        <v>99</v>
      </c>
      <c r="K70" t="s">
        <v>46</v>
      </c>
      <c r="L70" t="s">
        <v>28</v>
      </c>
      <c r="M70" t="s">
        <v>29</v>
      </c>
      <c r="N70" t="str">
        <f>+VLOOKUP(A70,[1]Buscador!$B:$E,4,0)</f>
        <v>Guayaquil</v>
      </c>
      <c r="O70" t="str">
        <f>+VLOOKUP(A70,[1]Buscador!$B:$F,5,0)</f>
        <v>Guayas</v>
      </c>
      <c r="P70" t="s">
        <v>153</v>
      </c>
      <c r="S70" t="s">
        <v>32</v>
      </c>
      <c r="T70" t="s">
        <v>33</v>
      </c>
      <c r="U70" t="s">
        <v>1016</v>
      </c>
      <c r="V70" t="s">
        <v>153</v>
      </c>
      <c r="W70" t="s">
        <v>1072</v>
      </c>
      <c r="X70" t="s">
        <v>1073</v>
      </c>
      <c r="Y70" t="s">
        <v>1074</v>
      </c>
      <c r="Z70" t="s">
        <v>1075</v>
      </c>
      <c r="AA70">
        <v>-2.104618726</v>
      </c>
      <c r="AB70">
        <v>-79.954315185499993</v>
      </c>
      <c r="AC70">
        <v>0</v>
      </c>
      <c r="AD70">
        <f>+VLOOKUP(L70,Evalua!$G$2:$H$12,2,0)</f>
        <v>1</v>
      </c>
      <c r="AE70">
        <f>+VLOOKUP(M70,Evalua!$G$2:$H$12,2,0)</f>
        <v>2</v>
      </c>
    </row>
    <row r="71" spans="1:31" hidden="1" x14ac:dyDescent="0.2">
      <c r="A71" s="1" t="s">
        <v>477</v>
      </c>
      <c r="B71" t="s">
        <v>424</v>
      </c>
      <c r="D71" t="s">
        <v>2003</v>
      </c>
      <c r="E71" s="3" t="s">
        <v>1997</v>
      </c>
      <c r="G71" t="s">
        <v>98</v>
      </c>
      <c r="H71" t="s">
        <v>153</v>
      </c>
      <c r="I71" t="s">
        <v>26</v>
      </c>
      <c r="J71" t="s">
        <v>99</v>
      </c>
      <c r="K71" t="s">
        <v>46</v>
      </c>
      <c r="L71" t="s">
        <v>28</v>
      </c>
      <c r="M71" t="s">
        <v>29</v>
      </c>
      <c r="N71" t="str">
        <f>+VLOOKUP(A71,[1]Buscador!$B:$E,4,0)</f>
        <v>Guayaquil</v>
      </c>
      <c r="O71" t="str">
        <f>+VLOOKUP(A71,[1]Buscador!$B:$F,5,0)</f>
        <v>Guayas</v>
      </c>
      <c r="P71" t="s">
        <v>31</v>
      </c>
      <c r="S71" t="s">
        <v>32</v>
      </c>
      <c r="T71" t="s">
        <v>33</v>
      </c>
      <c r="U71" t="s">
        <v>424</v>
      </c>
      <c r="V71" t="s">
        <v>153</v>
      </c>
      <c r="W71" t="s">
        <v>478</v>
      </c>
      <c r="X71" t="s">
        <v>479</v>
      </c>
      <c r="Y71" t="s">
        <v>480</v>
      </c>
      <c r="Z71" t="s">
        <v>481</v>
      </c>
      <c r="AA71">
        <v>-2.2509256028000002</v>
      </c>
      <c r="AB71">
        <v>-79.894071177900003</v>
      </c>
      <c r="AC71">
        <v>0</v>
      </c>
      <c r="AD71">
        <f>+VLOOKUP(L71,Evalua!$G$2:$H$12,2,0)</f>
        <v>1</v>
      </c>
      <c r="AE71">
        <f>+VLOOKUP(M71,Evalua!$G$2:$H$12,2,0)</f>
        <v>2</v>
      </c>
    </row>
    <row r="72" spans="1:31" hidden="1" x14ac:dyDescent="0.2">
      <c r="A72" s="1" t="s">
        <v>265</v>
      </c>
      <c r="B72" t="s">
        <v>209</v>
      </c>
      <c r="E72" s="3" t="s">
        <v>2006</v>
      </c>
      <c r="G72" t="s">
        <v>98</v>
      </c>
      <c r="H72" t="s">
        <v>153</v>
      </c>
      <c r="I72" t="s">
        <v>26</v>
      </c>
      <c r="J72" t="s">
        <v>99</v>
      </c>
      <c r="K72" t="s">
        <v>46</v>
      </c>
      <c r="L72" t="s">
        <v>28</v>
      </c>
      <c r="M72" t="s">
        <v>29</v>
      </c>
      <c r="N72" t="str">
        <f>+VLOOKUP(A72,[1]Buscador!$B:$E,4,0)</f>
        <v>Guayaquil</v>
      </c>
      <c r="O72" t="str">
        <f>+VLOOKUP(A72,[1]Buscador!$B:$F,5,0)</f>
        <v>Guayas</v>
      </c>
      <c r="P72" t="s">
        <v>31</v>
      </c>
      <c r="S72" t="s">
        <v>32</v>
      </c>
      <c r="T72" t="s">
        <v>33</v>
      </c>
      <c r="U72" t="s">
        <v>209</v>
      </c>
      <c r="V72" t="s">
        <v>153</v>
      </c>
      <c r="W72" t="s">
        <v>266</v>
      </c>
      <c r="X72" t="s">
        <v>267</v>
      </c>
      <c r="Y72" t="s">
        <v>268</v>
      </c>
      <c r="Z72" t="s">
        <v>269</v>
      </c>
      <c r="AA72">
        <v>-2.1203334693999998</v>
      </c>
      <c r="AB72">
        <v>-79.900600195099997</v>
      </c>
      <c r="AC72">
        <v>0</v>
      </c>
      <c r="AD72">
        <f>+VLOOKUP(L72,Evalua!$G$2:$H$12,2,0)</f>
        <v>1</v>
      </c>
      <c r="AE72">
        <f>+VLOOKUP(M72,Evalua!$G$2:$H$12,2,0)</f>
        <v>2</v>
      </c>
    </row>
    <row r="73" spans="1:31" hidden="1" x14ac:dyDescent="0.2">
      <c r="A73" s="1" t="s">
        <v>364</v>
      </c>
      <c r="B73" t="s">
        <v>310</v>
      </c>
      <c r="D73" t="s">
        <v>1990</v>
      </c>
      <c r="E73" t="s">
        <v>1998</v>
      </c>
      <c r="G73" t="s">
        <v>98</v>
      </c>
      <c r="H73" t="s">
        <v>1970</v>
      </c>
      <c r="I73" t="s">
        <v>26</v>
      </c>
      <c r="J73" t="s">
        <v>99</v>
      </c>
      <c r="K73" t="s">
        <v>46</v>
      </c>
      <c r="L73" t="s">
        <v>28</v>
      </c>
      <c r="M73" t="s">
        <v>29</v>
      </c>
      <c r="N73" t="str">
        <f>+VLOOKUP(A73,[1]Buscador!$B:$E,4,0)</f>
        <v>General Villamil Playas</v>
      </c>
      <c r="O73" t="str">
        <f>+VLOOKUP(A73,[1]Buscador!$B:$F,5,0)</f>
        <v>Guayas</v>
      </c>
      <c r="P73" t="s">
        <v>153</v>
      </c>
      <c r="S73" t="s">
        <v>32</v>
      </c>
      <c r="T73" t="s">
        <v>33</v>
      </c>
      <c r="U73" t="s">
        <v>310</v>
      </c>
      <c r="V73" t="s">
        <v>1922</v>
      </c>
      <c r="W73" t="s">
        <v>365</v>
      </c>
      <c r="X73" t="s">
        <v>366</v>
      </c>
      <c r="Y73" t="s">
        <v>367</v>
      </c>
      <c r="Z73" t="s">
        <v>368</v>
      </c>
      <c r="AA73">
        <v>-2.6356169999999999</v>
      </c>
      <c r="AB73">
        <v>-80.390508999999994</v>
      </c>
      <c r="AC73">
        <v>0</v>
      </c>
      <c r="AD73">
        <f>+VLOOKUP(L73,Evalua!$G$2:$H$12,2,0)</f>
        <v>1</v>
      </c>
      <c r="AE73">
        <f>+VLOOKUP(M73,Evalua!$G$2:$H$12,2,0)</f>
        <v>2</v>
      </c>
    </row>
    <row r="74" spans="1:31" hidden="1" x14ac:dyDescent="0.2">
      <c r="A74" s="1" t="s">
        <v>1005</v>
      </c>
      <c r="B74" t="s">
        <v>948</v>
      </c>
      <c r="C74" t="s">
        <v>2029</v>
      </c>
      <c r="D74" t="s">
        <v>1996</v>
      </c>
      <c r="E74" s="3" t="s">
        <v>1997</v>
      </c>
      <c r="G74" t="s">
        <v>98</v>
      </c>
      <c r="H74" t="s">
        <v>153</v>
      </c>
      <c r="I74" t="s">
        <v>26</v>
      </c>
      <c r="J74" t="s">
        <v>99</v>
      </c>
      <c r="K74" t="s">
        <v>46</v>
      </c>
      <c r="L74" t="s">
        <v>28</v>
      </c>
      <c r="M74" t="s">
        <v>29</v>
      </c>
      <c r="N74" t="str">
        <f>+VLOOKUP(A74,[1]Buscador!$B:$E,4,0)</f>
        <v>Guayaquil</v>
      </c>
      <c r="O74" t="str">
        <f>+VLOOKUP(A74,[1]Buscador!$B:$F,5,0)</f>
        <v>Guayas</v>
      </c>
      <c r="P74" t="s">
        <v>31</v>
      </c>
      <c r="S74" t="s">
        <v>32</v>
      </c>
      <c r="T74" t="s">
        <v>33</v>
      </c>
      <c r="U74" t="s">
        <v>948</v>
      </c>
      <c r="V74" t="s">
        <v>153</v>
      </c>
      <c r="W74" t="s">
        <v>1006</v>
      </c>
      <c r="X74" t="s">
        <v>1007</v>
      </c>
      <c r="Y74" t="s">
        <v>1008</v>
      </c>
      <c r="Z74" t="s">
        <v>1009</v>
      </c>
      <c r="AA74">
        <v>-2.1956280000000001</v>
      </c>
      <c r="AB74">
        <v>-79.896410000000003</v>
      </c>
      <c r="AC74">
        <v>0</v>
      </c>
      <c r="AD74">
        <f>+VLOOKUP(L74,Evalua!$G$2:$H$12,2,0)</f>
        <v>1</v>
      </c>
      <c r="AE74">
        <f>+VLOOKUP(M74,Evalua!$G$2:$H$12,2,0)</f>
        <v>2</v>
      </c>
    </row>
    <row r="75" spans="1:31" hidden="1" x14ac:dyDescent="0.2">
      <c r="A75" s="1" t="s">
        <v>1157</v>
      </c>
      <c r="B75" t="s">
        <v>1102</v>
      </c>
      <c r="G75" t="s">
        <v>98</v>
      </c>
      <c r="H75" t="s">
        <v>153</v>
      </c>
      <c r="I75" t="s">
        <v>26</v>
      </c>
      <c r="J75" t="s">
        <v>99</v>
      </c>
      <c r="K75" t="s">
        <v>27</v>
      </c>
      <c r="L75" t="s">
        <v>28</v>
      </c>
      <c r="M75" t="s">
        <v>29</v>
      </c>
      <c r="N75" t="str">
        <f>+VLOOKUP(A75,[1]Buscador!$B:$E,4,0)</f>
        <v>Quito</v>
      </c>
      <c r="O75" t="str">
        <f>+VLOOKUP(A75,[1]Buscador!$B:$F,5,0)</f>
        <v>Pichincha</v>
      </c>
      <c r="P75" t="s">
        <v>31</v>
      </c>
      <c r="S75" t="s">
        <v>32</v>
      </c>
      <c r="T75" t="s">
        <v>33</v>
      </c>
      <c r="U75" t="s">
        <v>1102</v>
      </c>
      <c r="V75" t="s">
        <v>153</v>
      </c>
      <c r="W75" t="s">
        <v>1158</v>
      </c>
      <c r="X75" t="s">
        <v>1159</v>
      </c>
      <c r="Y75" t="s">
        <v>1160</v>
      </c>
      <c r="Z75" t="s">
        <v>1161</v>
      </c>
      <c r="AA75">
        <v>-0.261019</v>
      </c>
      <c r="AB75">
        <v>-78.545967000000005</v>
      </c>
      <c r="AC75">
        <v>0</v>
      </c>
      <c r="AD75">
        <f>+VLOOKUP(L75,Evalua!$G$2:$H$12,2,0)</f>
        <v>1</v>
      </c>
      <c r="AE75">
        <f>+VLOOKUP(M75,Evalua!$G$2:$H$12,2,0)</f>
        <v>2</v>
      </c>
    </row>
    <row r="76" spans="1:31" hidden="1" x14ac:dyDescent="0.2">
      <c r="A76" s="1" t="s">
        <v>532</v>
      </c>
      <c r="B76" t="s">
        <v>478</v>
      </c>
      <c r="E76" s="3" t="s">
        <v>1997</v>
      </c>
      <c r="G76" t="s">
        <v>98</v>
      </c>
      <c r="H76" t="s">
        <v>153</v>
      </c>
      <c r="I76" t="s">
        <v>26</v>
      </c>
      <c r="J76" t="s">
        <v>99</v>
      </c>
      <c r="K76" t="s">
        <v>46</v>
      </c>
      <c r="L76" t="s">
        <v>28</v>
      </c>
      <c r="M76" t="s">
        <v>29</v>
      </c>
      <c r="N76" t="str">
        <f>+VLOOKUP(A76,[1]Buscador!$B:$E,4,0)</f>
        <v>Guayaquil</v>
      </c>
      <c r="O76" t="str">
        <f>+VLOOKUP(A76,[1]Buscador!$B:$F,5,0)</f>
        <v>Guayas</v>
      </c>
      <c r="P76" t="s">
        <v>31</v>
      </c>
      <c r="S76" t="s">
        <v>32</v>
      </c>
      <c r="T76" t="s">
        <v>33</v>
      </c>
      <c r="U76" t="s">
        <v>478</v>
      </c>
      <c r="V76" t="s">
        <v>153</v>
      </c>
      <c r="W76" t="s">
        <v>533</v>
      </c>
      <c r="X76" t="s">
        <v>534</v>
      </c>
      <c r="Y76" t="s">
        <v>535</v>
      </c>
      <c r="Z76" t="s">
        <v>536</v>
      </c>
      <c r="AA76">
        <v>-2.1813470000000001</v>
      </c>
      <c r="AB76">
        <v>-79.891818999999998</v>
      </c>
      <c r="AC76">
        <v>0</v>
      </c>
      <c r="AD76">
        <f>+VLOOKUP(L76,Evalua!$G$2:$H$12,2,0)</f>
        <v>1</v>
      </c>
      <c r="AE76">
        <f>+VLOOKUP(M76,Evalua!$G$2:$H$12,2,0)</f>
        <v>2</v>
      </c>
    </row>
    <row r="77" spans="1:31" hidden="1" x14ac:dyDescent="0.2">
      <c r="A77" s="1" t="s">
        <v>334</v>
      </c>
      <c r="B77" t="s">
        <v>277</v>
      </c>
      <c r="D77" t="s">
        <v>1996</v>
      </c>
      <c r="E77" s="3" t="s">
        <v>2006</v>
      </c>
      <c r="G77" t="s">
        <v>98</v>
      </c>
      <c r="H77" t="s">
        <v>153</v>
      </c>
      <c r="I77" t="s">
        <v>26</v>
      </c>
      <c r="J77" t="s">
        <v>99</v>
      </c>
      <c r="K77" t="s">
        <v>46</v>
      </c>
      <c r="L77" t="s">
        <v>81</v>
      </c>
      <c r="M77" t="s">
        <v>29</v>
      </c>
      <c r="N77" t="str">
        <f>+VLOOKUP(A77,[1]Buscador!$B:$E,4,0)</f>
        <v>Guayaquil</v>
      </c>
      <c r="O77" t="str">
        <f>+VLOOKUP(A77,[1]Buscador!$B:$F,5,0)</f>
        <v>Guayas</v>
      </c>
      <c r="P77" t="s">
        <v>31</v>
      </c>
      <c r="S77" t="s">
        <v>82</v>
      </c>
      <c r="T77" t="s">
        <v>83</v>
      </c>
      <c r="U77" t="s">
        <v>277</v>
      </c>
      <c r="V77" t="s">
        <v>153</v>
      </c>
      <c r="W77" t="s">
        <v>335</v>
      </c>
      <c r="X77" t="s">
        <v>336</v>
      </c>
      <c r="Y77" t="s">
        <v>337</v>
      </c>
      <c r="Z77" t="s">
        <v>338</v>
      </c>
      <c r="AA77">
        <v>-2.1942699999999999</v>
      </c>
      <c r="AB77">
        <v>-79.925332999999995</v>
      </c>
      <c r="AC77">
        <v>0</v>
      </c>
      <c r="AD77">
        <f>+VLOOKUP(L77,Evalua!$G$2:$H$12,2,0)</f>
        <v>3</v>
      </c>
      <c r="AE77">
        <f>+VLOOKUP(M77,Evalua!$G$2:$H$12,2,0)</f>
        <v>2</v>
      </c>
    </row>
    <row r="78" spans="1:31" hidden="1" x14ac:dyDescent="0.2">
      <c r="A78" s="1" t="s">
        <v>1132</v>
      </c>
      <c r="B78" t="s">
        <v>1077</v>
      </c>
      <c r="C78" t="s">
        <v>2027</v>
      </c>
      <c r="D78" t="s">
        <v>1995</v>
      </c>
      <c r="E78" s="3" t="s">
        <v>1997</v>
      </c>
      <c r="G78" t="s">
        <v>98</v>
      </c>
      <c r="H78" t="s">
        <v>153</v>
      </c>
      <c r="I78" t="s">
        <v>26</v>
      </c>
      <c r="J78" t="s">
        <v>99</v>
      </c>
      <c r="K78" t="s">
        <v>46</v>
      </c>
      <c r="L78" t="s">
        <v>28</v>
      </c>
      <c r="M78" t="s">
        <v>29</v>
      </c>
      <c r="N78" t="str">
        <f>+VLOOKUP(A78,[1]Buscador!$B:$E,4,0)</f>
        <v>Guayaquil</v>
      </c>
      <c r="O78" t="str">
        <f>+VLOOKUP(A78,[1]Buscador!$B:$F,5,0)</f>
        <v>Guayas</v>
      </c>
      <c r="P78" t="s">
        <v>31</v>
      </c>
      <c r="S78" t="s">
        <v>32</v>
      </c>
      <c r="T78" t="s">
        <v>33</v>
      </c>
      <c r="U78" t="s">
        <v>1077</v>
      </c>
      <c r="V78" t="s">
        <v>153</v>
      </c>
      <c r="W78" t="s">
        <v>1133</v>
      </c>
      <c r="X78" t="s">
        <v>1134</v>
      </c>
      <c r="Y78" t="s">
        <v>1135</v>
      </c>
      <c r="Z78" t="s">
        <v>1136</v>
      </c>
      <c r="AA78">
        <v>-2.1977950000000002</v>
      </c>
      <c r="AB78">
        <v>-79.933032999999995</v>
      </c>
      <c r="AC78">
        <v>0</v>
      </c>
      <c r="AD78">
        <f>+VLOOKUP(L78,Evalua!$G$2:$H$12,2,0)</f>
        <v>1</v>
      </c>
      <c r="AE78">
        <f>+VLOOKUP(M78,Evalua!$G$2:$H$12,2,0)</f>
        <v>2</v>
      </c>
    </row>
    <row r="79" spans="1:31" hidden="1" x14ac:dyDescent="0.2">
      <c r="A79" s="1" t="s">
        <v>927</v>
      </c>
      <c r="B79" t="s">
        <v>872</v>
      </c>
      <c r="E79" s="3" t="s">
        <v>1997</v>
      </c>
      <c r="G79" t="s">
        <v>98</v>
      </c>
      <c r="H79" t="s">
        <v>153</v>
      </c>
      <c r="I79" t="s">
        <v>26</v>
      </c>
      <c r="J79" t="s">
        <v>99</v>
      </c>
      <c r="K79" t="s">
        <v>46</v>
      </c>
      <c r="L79" t="s">
        <v>28</v>
      </c>
      <c r="M79" t="s">
        <v>29</v>
      </c>
      <c r="N79" t="str">
        <f>+VLOOKUP(A79,[1]Buscador!$B:$E,4,0)</f>
        <v>Guayaquil</v>
      </c>
      <c r="O79" t="str">
        <f>+VLOOKUP(A79,[1]Buscador!$B:$F,5,0)</f>
        <v>Guayas</v>
      </c>
      <c r="P79" t="s">
        <v>153</v>
      </c>
      <c r="S79" t="s">
        <v>32</v>
      </c>
      <c r="T79" t="s">
        <v>33</v>
      </c>
      <c r="U79" t="s">
        <v>872</v>
      </c>
      <c r="V79" t="s">
        <v>153</v>
      </c>
      <c r="W79" t="s">
        <v>928</v>
      </c>
      <c r="X79" t="s">
        <v>929</v>
      </c>
      <c r="Y79" t="s">
        <v>930</v>
      </c>
      <c r="Z79" t="s">
        <v>931</v>
      </c>
      <c r="AA79">
        <v>-2.1474749262000001</v>
      </c>
      <c r="AB79">
        <v>-79.905767072399996</v>
      </c>
      <c r="AC79">
        <v>0</v>
      </c>
      <c r="AD79">
        <f>+VLOOKUP(L79,Evalua!$G$2:$H$12,2,0)</f>
        <v>1</v>
      </c>
      <c r="AE79">
        <f>+VLOOKUP(M79,Evalua!$G$2:$H$12,2,0)</f>
        <v>2</v>
      </c>
    </row>
    <row r="80" spans="1:31" hidden="1" x14ac:dyDescent="0.2">
      <c r="A80" s="1" t="s">
        <v>765</v>
      </c>
      <c r="B80" t="s">
        <v>709</v>
      </c>
      <c r="E80" s="3" t="s">
        <v>1998</v>
      </c>
      <c r="G80" t="s">
        <v>766</v>
      </c>
      <c r="H80" t="s">
        <v>153</v>
      </c>
      <c r="I80" t="s">
        <v>26</v>
      </c>
      <c r="J80" t="s">
        <v>99</v>
      </c>
      <c r="K80" t="s">
        <v>46</v>
      </c>
      <c r="L80" t="s">
        <v>28</v>
      </c>
      <c r="M80" t="s">
        <v>29</v>
      </c>
      <c r="N80" t="str">
        <f>+VLOOKUP(A80,[1]Buscador!$B:$E,4,0)</f>
        <v>Samborondón</v>
      </c>
      <c r="O80" t="str">
        <f>+VLOOKUP(A80,[1]Buscador!$B:$F,5,0)</f>
        <v>Guayas</v>
      </c>
      <c r="P80" t="s">
        <v>31</v>
      </c>
      <c r="S80" t="s">
        <v>32</v>
      </c>
      <c r="T80" t="s">
        <v>33</v>
      </c>
      <c r="U80" t="s">
        <v>709</v>
      </c>
      <c r="V80" t="s">
        <v>153</v>
      </c>
      <c r="W80" t="s">
        <v>767</v>
      </c>
      <c r="X80" t="s">
        <v>768</v>
      </c>
      <c r="Y80" t="s">
        <v>769</v>
      </c>
      <c r="Z80" t="s">
        <v>770</v>
      </c>
      <c r="AA80">
        <v>-2.0990640515000001</v>
      </c>
      <c r="AB80">
        <v>-79.875114552300005</v>
      </c>
      <c r="AC80">
        <v>0</v>
      </c>
      <c r="AD80">
        <f>+VLOOKUP(L80,Evalua!$G$2:$H$12,2,0)</f>
        <v>1</v>
      </c>
      <c r="AE80">
        <f>+VLOOKUP(M80,Evalua!$G$2:$H$12,2,0)</f>
        <v>2</v>
      </c>
    </row>
    <row r="81" spans="1:31" hidden="1" x14ac:dyDescent="0.2">
      <c r="A81" s="1" t="s">
        <v>1624</v>
      </c>
      <c r="B81" t="s">
        <v>1625</v>
      </c>
      <c r="D81" t="s">
        <v>2002</v>
      </c>
      <c r="E81" t="s">
        <v>1998</v>
      </c>
      <c r="G81" t="s">
        <v>1626</v>
      </c>
      <c r="H81" t="s">
        <v>153</v>
      </c>
      <c r="I81" t="s">
        <v>26</v>
      </c>
      <c r="J81" t="s">
        <v>2</v>
      </c>
      <c r="K81" t="s">
        <v>170</v>
      </c>
      <c r="L81" t="s">
        <v>81</v>
      </c>
      <c r="M81" t="s">
        <v>29</v>
      </c>
      <c r="N81" t="str">
        <f>+VLOOKUP(A81,[1]Buscador!$B:$E,4,0)</f>
        <v>Manta</v>
      </c>
      <c r="O81" t="str">
        <f>+VLOOKUP(A81,[1]Buscador!$B:$F,5,0)</f>
        <v>Manabí</v>
      </c>
      <c r="P81" t="s">
        <v>31</v>
      </c>
      <c r="S81" t="s">
        <v>82</v>
      </c>
      <c r="T81" t="s">
        <v>83</v>
      </c>
      <c r="U81" t="s">
        <v>298</v>
      </c>
      <c r="V81" t="s">
        <v>153</v>
      </c>
      <c r="X81" t="s">
        <v>1627</v>
      </c>
      <c r="Z81" t="s">
        <v>1968</v>
      </c>
      <c r="AA81">
        <v>-0.94415985091909804</v>
      </c>
      <c r="AB81">
        <v>-80.723603146460604</v>
      </c>
      <c r="AC81">
        <v>0</v>
      </c>
      <c r="AD81">
        <f>+VLOOKUP(L81,Evalua!$G$2:$H$12,2,0)</f>
        <v>3</v>
      </c>
      <c r="AE81">
        <f>+VLOOKUP(M81,Evalua!$G$2:$H$12,2,0)</f>
        <v>2</v>
      </c>
    </row>
    <row r="82" spans="1:31" hidden="1" x14ac:dyDescent="0.2">
      <c r="A82" s="1" t="s">
        <v>841</v>
      </c>
      <c r="B82" t="s">
        <v>787</v>
      </c>
      <c r="G82" t="s">
        <v>98</v>
      </c>
      <c r="H82" t="s">
        <v>153</v>
      </c>
      <c r="I82" t="s">
        <v>26</v>
      </c>
      <c r="J82" t="s">
        <v>99</v>
      </c>
      <c r="K82" t="s">
        <v>27</v>
      </c>
      <c r="L82" t="s">
        <v>28</v>
      </c>
      <c r="M82" t="s">
        <v>29</v>
      </c>
      <c r="N82" t="str">
        <f>+VLOOKUP(A82,[1]Buscador!$B:$E,4,0)</f>
        <v>Cumbaya</v>
      </c>
      <c r="O82" t="str">
        <f>+VLOOKUP(A82,[1]Buscador!$B:$F,5,0)</f>
        <v>Pichincha</v>
      </c>
      <c r="P82" t="s">
        <v>31</v>
      </c>
      <c r="S82" t="s">
        <v>32</v>
      </c>
      <c r="T82" t="s">
        <v>33</v>
      </c>
      <c r="U82" t="s">
        <v>787</v>
      </c>
      <c r="V82" t="s">
        <v>153</v>
      </c>
      <c r="W82" t="s">
        <v>842</v>
      </c>
      <c r="X82" t="s">
        <v>843</v>
      </c>
      <c r="Y82" t="s">
        <v>844</v>
      </c>
      <c r="Z82" t="s">
        <v>845</v>
      </c>
      <c r="AA82">
        <v>-0.198046</v>
      </c>
      <c r="AB82">
        <v>-78.439150999999995</v>
      </c>
      <c r="AC82">
        <v>0</v>
      </c>
      <c r="AD82">
        <f>+VLOOKUP(L82,Evalua!$G$2:$H$12,2,0)</f>
        <v>1</v>
      </c>
      <c r="AE82">
        <f>+VLOOKUP(M82,Evalua!$G$2:$H$12,2,0)</f>
        <v>2</v>
      </c>
    </row>
    <row r="83" spans="1:31" hidden="1" x14ac:dyDescent="0.2">
      <c r="A83" s="1" t="s">
        <v>1730</v>
      </c>
      <c r="B83" t="s">
        <v>1731</v>
      </c>
      <c r="G83" t="s">
        <v>1732</v>
      </c>
      <c r="H83" t="s">
        <v>153</v>
      </c>
      <c r="I83" t="s">
        <v>26</v>
      </c>
      <c r="J83" t="s">
        <v>2</v>
      </c>
      <c r="K83" t="s">
        <v>27</v>
      </c>
      <c r="L83" t="s">
        <v>28</v>
      </c>
      <c r="M83" t="s">
        <v>29</v>
      </c>
      <c r="N83" t="str">
        <f>+VLOOKUP(A83,[1]Buscador!$B:$E,4,0)</f>
        <v>Quito</v>
      </c>
      <c r="O83" t="str">
        <f>+VLOOKUP(A83,[1]Buscador!$B:$F,5,0)</f>
        <v>Pichincha</v>
      </c>
      <c r="P83" t="s">
        <v>31</v>
      </c>
      <c r="S83" t="s">
        <v>32</v>
      </c>
      <c r="T83" t="s">
        <v>33</v>
      </c>
      <c r="U83" t="s">
        <v>1454</v>
      </c>
      <c r="V83" t="s">
        <v>153</v>
      </c>
      <c r="X83" t="s">
        <v>1733</v>
      </c>
      <c r="Z83" t="s">
        <v>1948</v>
      </c>
      <c r="AA83">
        <v>-0.28519660716465001</v>
      </c>
      <c r="AB83">
        <v>-78.543643270809</v>
      </c>
      <c r="AC83">
        <v>0</v>
      </c>
      <c r="AD83">
        <f>+VLOOKUP(L83,Evalua!$G$2:$H$12,2,0)</f>
        <v>1</v>
      </c>
      <c r="AE83">
        <f>+VLOOKUP(M83,Evalua!$G$2:$H$12,2,0)</f>
        <v>2</v>
      </c>
    </row>
    <row r="84" spans="1:31" x14ac:dyDescent="0.2">
      <c r="A84" s="1" t="s">
        <v>932</v>
      </c>
      <c r="B84" t="s">
        <v>877</v>
      </c>
      <c r="D84" t="s">
        <v>1996</v>
      </c>
      <c r="E84" s="3" t="s">
        <v>1997</v>
      </c>
      <c r="G84" t="s">
        <v>98</v>
      </c>
      <c r="H84" t="s">
        <v>153</v>
      </c>
      <c r="I84" t="s">
        <v>26</v>
      </c>
      <c r="J84" t="s">
        <v>99</v>
      </c>
      <c r="K84" t="s">
        <v>46</v>
      </c>
      <c r="L84" t="s">
        <v>28</v>
      </c>
      <c r="M84" t="s">
        <v>29</v>
      </c>
      <c r="N84" t="str">
        <f>+VLOOKUP(A84,[1]Buscador!$B:$E,4,0)</f>
        <v>Guayaquil</v>
      </c>
      <c r="O84" t="str">
        <f>+VLOOKUP(A84,[1]Buscador!$B:$F,5,0)</f>
        <v>Guayas</v>
      </c>
      <c r="P84" t="s">
        <v>31</v>
      </c>
      <c r="S84" t="s">
        <v>32</v>
      </c>
      <c r="T84" t="s">
        <v>33</v>
      </c>
      <c r="U84" t="s">
        <v>877</v>
      </c>
      <c r="V84" t="s">
        <v>153</v>
      </c>
      <c r="W84" t="s">
        <v>933</v>
      </c>
      <c r="X84" t="s">
        <v>934</v>
      </c>
      <c r="Y84" t="s">
        <v>935</v>
      </c>
      <c r="Z84" t="s">
        <v>936</v>
      </c>
      <c r="AA84">
        <v>-2.1891895706</v>
      </c>
      <c r="AB84">
        <v>-79.944021906700002</v>
      </c>
      <c r="AC84">
        <v>0</v>
      </c>
      <c r="AD84">
        <f>+VLOOKUP(L84,Evalua!$G$2:$H$12,2,0)</f>
        <v>1</v>
      </c>
      <c r="AE84">
        <f>+VLOOKUP(M84,Evalua!$G$2:$H$12,2,0)</f>
        <v>2</v>
      </c>
    </row>
    <row r="85" spans="1:31" hidden="1" x14ac:dyDescent="0.2">
      <c r="A85" s="1" t="s">
        <v>922</v>
      </c>
      <c r="B85" t="s">
        <v>867</v>
      </c>
      <c r="D85" t="s">
        <v>1996</v>
      </c>
      <c r="E85" s="3" t="s">
        <v>2006</v>
      </c>
      <c r="G85" t="s">
        <v>98</v>
      </c>
      <c r="H85" t="s">
        <v>153</v>
      </c>
      <c r="I85" t="s">
        <v>26</v>
      </c>
      <c r="J85" t="s">
        <v>99</v>
      </c>
      <c r="K85" t="s">
        <v>46</v>
      </c>
      <c r="L85" t="s">
        <v>28</v>
      </c>
      <c r="M85" t="s">
        <v>29</v>
      </c>
      <c r="N85" t="str">
        <f>+VLOOKUP(A85,[1]Buscador!$B:$E,4,0)</f>
        <v>Guayaquil</v>
      </c>
      <c r="O85" t="str">
        <f>+VLOOKUP(A85,[1]Buscador!$B:$F,5,0)</f>
        <v>Guayas</v>
      </c>
      <c r="P85" t="s">
        <v>153</v>
      </c>
      <c r="S85" t="s">
        <v>32</v>
      </c>
      <c r="T85" t="s">
        <v>33</v>
      </c>
      <c r="U85" t="s">
        <v>867</v>
      </c>
      <c r="V85" t="s">
        <v>153</v>
      </c>
      <c r="W85" t="s">
        <v>923</v>
      </c>
      <c r="X85" t="s">
        <v>924</v>
      </c>
      <c r="Y85" t="s">
        <v>925</v>
      </c>
      <c r="Z85" t="s">
        <v>926</v>
      </c>
      <c r="AA85">
        <v>-2.2604146310000002</v>
      </c>
      <c r="AB85">
        <v>-79.896301030299995</v>
      </c>
      <c r="AC85">
        <v>0</v>
      </c>
      <c r="AD85">
        <f>+VLOOKUP(L85,Evalua!$G$2:$H$12,2,0)</f>
        <v>1</v>
      </c>
      <c r="AE85">
        <f>+VLOOKUP(M85,Evalua!$G$2:$H$12,2,0)</f>
        <v>2</v>
      </c>
    </row>
    <row r="86" spans="1:31" hidden="1" x14ac:dyDescent="0.2">
      <c r="A86" s="1" t="s">
        <v>56</v>
      </c>
      <c r="B86" t="s">
        <v>57</v>
      </c>
      <c r="D86" t="s">
        <v>1990</v>
      </c>
      <c r="E86" t="s">
        <v>1997</v>
      </c>
      <c r="G86" t="s">
        <v>58</v>
      </c>
      <c r="H86" t="s">
        <v>153</v>
      </c>
      <c r="I86" t="s">
        <v>26</v>
      </c>
      <c r="J86" t="s">
        <v>2</v>
      </c>
      <c r="K86" t="s">
        <v>46</v>
      </c>
      <c r="L86" t="s">
        <v>28</v>
      </c>
      <c r="M86" t="s">
        <v>29</v>
      </c>
      <c r="N86" t="str">
        <f>+VLOOKUP(A86,[1]Buscador!$B:$E,4,0)</f>
        <v>Guayaquil</v>
      </c>
      <c r="O86" t="str">
        <f>+VLOOKUP(A86,[1]Buscador!$B:$F,5,0)</f>
        <v>Guayas</v>
      </c>
      <c r="P86" t="s">
        <v>31</v>
      </c>
      <c r="S86" t="s">
        <v>32</v>
      </c>
      <c r="T86" t="s">
        <v>33</v>
      </c>
      <c r="U86" t="s">
        <v>48</v>
      </c>
      <c r="V86" t="s">
        <v>153</v>
      </c>
      <c r="W86" t="s">
        <v>59</v>
      </c>
      <c r="X86" t="s">
        <v>60</v>
      </c>
      <c r="Y86" t="s">
        <v>61</v>
      </c>
      <c r="Z86" t="s">
        <v>62</v>
      </c>
      <c r="AA86">
        <v>-2.1527181153999999</v>
      </c>
      <c r="AB86">
        <v>-79.885611603100003</v>
      </c>
      <c r="AC86">
        <v>0</v>
      </c>
      <c r="AD86">
        <f>+VLOOKUP(L86,Evalua!$G$2:$H$12,2,0)</f>
        <v>1</v>
      </c>
      <c r="AE86">
        <f>+VLOOKUP(M86,Evalua!$G$2:$H$12,2,0)</f>
        <v>2</v>
      </c>
    </row>
    <row r="87" spans="1:31" hidden="1" x14ac:dyDescent="0.2">
      <c r="A87" s="1" t="s">
        <v>816</v>
      </c>
      <c r="B87" t="s">
        <v>761</v>
      </c>
      <c r="D87" t="s">
        <v>1990</v>
      </c>
      <c r="E87">
        <v>2640</v>
      </c>
      <c r="G87" t="s">
        <v>98</v>
      </c>
      <c r="H87" t="s">
        <v>153</v>
      </c>
      <c r="I87" t="s">
        <v>26</v>
      </c>
      <c r="J87" t="s">
        <v>99</v>
      </c>
      <c r="K87" t="s">
        <v>27</v>
      </c>
      <c r="L87" t="s">
        <v>28</v>
      </c>
      <c r="M87" t="s">
        <v>29</v>
      </c>
      <c r="N87" t="str">
        <f>+VLOOKUP(A87,[1]Buscador!$B:$E,4,0)</f>
        <v>Ambato</v>
      </c>
      <c r="O87" t="str">
        <f>+VLOOKUP(A87,[1]Buscador!$B:$F,5,0)</f>
        <v>Tungurahua</v>
      </c>
      <c r="P87" t="s">
        <v>31</v>
      </c>
      <c r="S87" t="s">
        <v>32</v>
      </c>
      <c r="T87" t="s">
        <v>33</v>
      </c>
      <c r="U87" t="s">
        <v>761</v>
      </c>
      <c r="V87" t="s">
        <v>153</v>
      </c>
      <c r="W87" t="s">
        <v>817</v>
      </c>
      <c r="X87" t="s">
        <v>818</v>
      </c>
      <c r="Y87" t="s">
        <v>819</v>
      </c>
      <c r="Z87" t="s">
        <v>820</v>
      </c>
      <c r="AA87">
        <v>-1.2567470211</v>
      </c>
      <c r="AB87">
        <v>-78.641881817799998</v>
      </c>
      <c r="AC87">
        <v>0</v>
      </c>
      <c r="AD87">
        <f>+VLOOKUP(L87,Evalua!$G$2:$H$12,2,0)</f>
        <v>1</v>
      </c>
      <c r="AE87">
        <f>+VLOOKUP(M87,Evalua!$G$2:$H$12,2,0)</f>
        <v>2</v>
      </c>
    </row>
    <row r="88" spans="1:31" hidden="1" x14ac:dyDescent="0.2">
      <c r="A88" s="1" t="s">
        <v>1065</v>
      </c>
      <c r="B88" t="s">
        <v>1011</v>
      </c>
      <c r="E88" t="s">
        <v>2001</v>
      </c>
      <c r="G88" t="s">
        <v>98</v>
      </c>
      <c r="H88" t="s">
        <v>153</v>
      </c>
      <c r="I88" t="s">
        <v>26</v>
      </c>
      <c r="J88" t="s">
        <v>99</v>
      </c>
      <c r="K88" t="s">
        <v>194</v>
      </c>
      <c r="L88" t="s">
        <v>28</v>
      </c>
      <c r="M88" t="s">
        <v>234</v>
      </c>
      <c r="N88" t="str">
        <f>+VLOOKUP(A88,[1]Buscador!$B:$E,4,0)</f>
        <v>Esmeraldas</v>
      </c>
      <c r="O88" t="str">
        <f>+VLOOKUP(A88,[1]Buscador!$B:$F,5,0)</f>
        <v>Esmeraldas</v>
      </c>
      <c r="P88" t="s">
        <v>31</v>
      </c>
      <c r="S88" t="s">
        <v>729</v>
      </c>
      <c r="T88" t="s">
        <v>730</v>
      </c>
      <c r="U88" t="s">
        <v>1011</v>
      </c>
      <c r="V88" t="s">
        <v>153</v>
      </c>
      <c r="W88" t="s">
        <v>1067</v>
      </c>
      <c r="X88" t="s">
        <v>1068</v>
      </c>
      <c r="Y88" t="s">
        <v>1069</v>
      </c>
      <c r="Z88" t="s">
        <v>1070</v>
      </c>
      <c r="AA88">
        <v>0.93252695429999999</v>
      </c>
      <c r="AB88">
        <v>-79.672041012999998</v>
      </c>
      <c r="AC88">
        <v>0</v>
      </c>
      <c r="AD88">
        <f>+VLOOKUP(L88,Evalua!$G$2:$H$12,2,0)</f>
        <v>1</v>
      </c>
      <c r="AE88">
        <f>+VLOOKUP(M88,Evalua!$G$2:$H$12,2,0)</f>
        <v>3</v>
      </c>
    </row>
    <row r="89" spans="1:31" hidden="1" x14ac:dyDescent="0.2">
      <c r="A89" s="1" t="s">
        <v>314</v>
      </c>
      <c r="B89" t="s">
        <v>256</v>
      </c>
      <c r="E89" s="3" t="s">
        <v>1997</v>
      </c>
      <c r="G89" t="s">
        <v>98</v>
      </c>
      <c r="H89" t="s">
        <v>153</v>
      </c>
      <c r="I89" t="s">
        <v>26</v>
      </c>
      <c r="J89" t="s">
        <v>99</v>
      </c>
      <c r="K89" t="s">
        <v>46</v>
      </c>
      <c r="L89" t="s">
        <v>28</v>
      </c>
      <c r="M89" t="s">
        <v>29</v>
      </c>
      <c r="N89" t="str">
        <f>+VLOOKUP(A89,[1]Buscador!$B:$E,4,0)</f>
        <v>Samborondón</v>
      </c>
      <c r="O89" t="str">
        <f>+VLOOKUP(A89,[1]Buscador!$B:$F,5,0)</f>
        <v>Guayas</v>
      </c>
      <c r="P89" t="s">
        <v>31</v>
      </c>
      <c r="S89" t="s">
        <v>32</v>
      </c>
      <c r="T89" t="s">
        <v>33</v>
      </c>
      <c r="U89" t="s">
        <v>256</v>
      </c>
      <c r="V89" t="s">
        <v>153</v>
      </c>
      <c r="W89" t="s">
        <v>315</v>
      </c>
      <c r="X89" t="s">
        <v>316</v>
      </c>
      <c r="Y89" t="s">
        <v>317</v>
      </c>
      <c r="Z89" t="s">
        <v>318</v>
      </c>
      <c r="AA89">
        <v>-2.1297677392000001</v>
      </c>
      <c r="AB89">
        <v>-79.864119169299997</v>
      </c>
      <c r="AC89">
        <v>0</v>
      </c>
      <c r="AD89">
        <f>+VLOOKUP(L89,Evalua!$G$2:$H$12,2,0)</f>
        <v>1</v>
      </c>
      <c r="AE89">
        <f>+VLOOKUP(M89,Evalua!$G$2:$H$12,2,0)</f>
        <v>2</v>
      </c>
    </row>
    <row r="90" spans="1:31" hidden="1" x14ac:dyDescent="0.2">
      <c r="A90" s="1" t="s">
        <v>663</v>
      </c>
      <c r="B90" t="s">
        <v>609</v>
      </c>
      <c r="G90" t="s">
        <v>98</v>
      </c>
      <c r="H90" t="s">
        <v>153</v>
      </c>
      <c r="I90" t="s">
        <v>26</v>
      </c>
      <c r="J90" t="s">
        <v>99</v>
      </c>
      <c r="K90" t="s">
        <v>27</v>
      </c>
      <c r="L90" t="s">
        <v>28</v>
      </c>
      <c r="M90" t="s">
        <v>29</v>
      </c>
      <c r="N90" t="str">
        <f>+VLOOKUP(A90,[1]Buscador!$B:$E,4,0)</f>
        <v>Quito</v>
      </c>
      <c r="O90" t="str">
        <f>+VLOOKUP(A90,[1]Buscador!$B:$F,5,0)</f>
        <v>Pichincha</v>
      </c>
      <c r="P90" t="s">
        <v>31</v>
      </c>
      <c r="S90" t="s">
        <v>32</v>
      </c>
      <c r="T90" t="s">
        <v>33</v>
      </c>
      <c r="U90" t="s">
        <v>609</v>
      </c>
      <c r="V90" t="s">
        <v>153</v>
      </c>
      <c r="W90" t="s">
        <v>664</v>
      </c>
      <c r="X90" t="s">
        <v>665</v>
      </c>
      <c r="Y90" t="s">
        <v>666</v>
      </c>
      <c r="Z90" t="s">
        <v>667</v>
      </c>
      <c r="AA90">
        <v>-0.20693900000000001</v>
      </c>
      <c r="AB90">
        <v>-78.495165999999998</v>
      </c>
      <c r="AC90">
        <v>0</v>
      </c>
      <c r="AD90">
        <f>+VLOOKUP(L90,Evalua!$G$2:$H$12,2,0)</f>
        <v>1</v>
      </c>
      <c r="AE90">
        <f>+VLOOKUP(M90,Evalua!$G$2:$H$12,2,0)</f>
        <v>2</v>
      </c>
    </row>
    <row r="91" spans="1:31" hidden="1" x14ac:dyDescent="0.2">
      <c r="A91" s="1" t="s">
        <v>1452</v>
      </c>
      <c r="B91" t="s">
        <v>1453</v>
      </c>
      <c r="D91" t="s">
        <v>1990</v>
      </c>
      <c r="E91" t="s">
        <v>2004</v>
      </c>
      <c r="G91" t="s">
        <v>182</v>
      </c>
      <c r="H91" t="s">
        <v>153</v>
      </c>
      <c r="I91" t="s">
        <v>26</v>
      </c>
      <c r="J91" t="s">
        <v>2</v>
      </c>
      <c r="K91" t="s">
        <v>183</v>
      </c>
      <c r="L91" t="s">
        <v>28</v>
      </c>
      <c r="M91" t="s">
        <v>160</v>
      </c>
      <c r="N91" t="str">
        <f>+VLOOKUP(A91,[1]Buscador!$B:$E,4,0)</f>
        <v>Quevedo</v>
      </c>
      <c r="O91" t="str">
        <f>+VLOOKUP(A91,[1]Buscador!$B:$F,5,0)</f>
        <v>Los Ríos</v>
      </c>
      <c r="P91" t="s">
        <v>31</v>
      </c>
      <c r="S91" t="s">
        <v>162</v>
      </c>
      <c r="T91" t="s">
        <v>83</v>
      </c>
      <c r="U91" t="s">
        <v>1266</v>
      </c>
      <c r="V91" t="s">
        <v>153</v>
      </c>
      <c r="W91" t="s">
        <v>1454</v>
      </c>
      <c r="X91" t="s">
        <v>1455</v>
      </c>
      <c r="Y91" t="s">
        <v>1456</v>
      </c>
      <c r="Z91" t="s">
        <v>1457</v>
      </c>
      <c r="AA91">
        <v>-0.99963500000000005</v>
      </c>
      <c r="AB91">
        <v>-79.467501999999996</v>
      </c>
      <c r="AC91">
        <v>0</v>
      </c>
      <c r="AD91">
        <f>+VLOOKUP(L91,Evalua!$G$2:$H$12,2,0)</f>
        <v>1</v>
      </c>
      <c r="AE91">
        <f>+VLOOKUP(M91,Evalua!$G$2:$H$12,2,0)</f>
        <v>1</v>
      </c>
    </row>
    <row r="92" spans="1:31" hidden="1" x14ac:dyDescent="0.2">
      <c r="A92" s="1" t="s">
        <v>1805</v>
      </c>
      <c r="B92" t="s">
        <v>1806</v>
      </c>
      <c r="D92" t="s">
        <v>1996</v>
      </c>
      <c r="E92" t="s">
        <v>1997</v>
      </c>
      <c r="G92" t="s">
        <v>1807</v>
      </c>
      <c r="H92" t="s">
        <v>153</v>
      </c>
      <c r="I92" t="s">
        <v>26</v>
      </c>
      <c r="J92" t="s">
        <v>2</v>
      </c>
      <c r="K92" t="s">
        <v>46</v>
      </c>
      <c r="L92" t="s">
        <v>28</v>
      </c>
      <c r="M92" t="s">
        <v>29</v>
      </c>
      <c r="N92" t="str">
        <f>+VLOOKUP(A92,[1]Buscador!$B:$E,4,0)</f>
        <v>Durán</v>
      </c>
      <c r="O92" t="str">
        <f>+VLOOKUP(A92,[1]Buscador!$B:$F,5,0)</f>
        <v>Guayas</v>
      </c>
      <c r="P92" t="s">
        <v>31</v>
      </c>
      <c r="S92" t="s">
        <v>32</v>
      </c>
      <c r="T92" t="s">
        <v>33</v>
      </c>
      <c r="U92" t="s">
        <v>1514</v>
      </c>
      <c r="V92" t="s">
        <v>153</v>
      </c>
      <c r="X92" t="s">
        <v>1808</v>
      </c>
      <c r="Z92" t="s">
        <v>1958</v>
      </c>
      <c r="AA92">
        <v>-2.1927731140308002</v>
      </c>
      <c r="AB92">
        <v>-79.823755483466996</v>
      </c>
      <c r="AC92">
        <v>0</v>
      </c>
      <c r="AD92">
        <f>+VLOOKUP(L92,Evalua!$G$2:$H$12,2,0)</f>
        <v>1</v>
      </c>
      <c r="AE92">
        <f>+VLOOKUP(M92,Evalua!$G$2:$H$12,2,0)</f>
        <v>2</v>
      </c>
    </row>
    <row r="93" spans="1:31" hidden="1" x14ac:dyDescent="0.2">
      <c r="A93" s="1" t="s">
        <v>380</v>
      </c>
      <c r="B93" t="s">
        <v>325</v>
      </c>
      <c r="D93" t="s">
        <v>2002</v>
      </c>
      <c r="E93" s="3" t="s">
        <v>2006</v>
      </c>
      <c r="G93" t="s">
        <v>98</v>
      </c>
      <c r="H93" t="s">
        <v>153</v>
      </c>
      <c r="I93" t="s">
        <v>26</v>
      </c>
      <c r="J93" t="s">
        <v>99</v>
      </c>
      <c r="K93" t="s">
        <v>46</v>
      </c>
      <c r="L93" t="s">
        <v>28</v>
      </c>
      <c r="M93" t="s">
        <v>29</v>
      </c>
      <c r="N93" t="str">
        <f>+VLOOKUP(A93,[1]Buscador!$B:$E,4,0)</f>
        <v>Guayaquil</v>
      </c>
      <c r="O93" t="str">
        <f>+VLOOKUP(A93,[1]Buscador!$B:$F,5,0)</f>
        <v>Guayas</v>
      </c>
      <c r="P93" t="s">
        <v>31</v>
      </c>
      <c r="S93" t="s">
        <v>32</v>
      </c>
      <c r="T93" t="s">
        <v>33</v>
      </c>
      <c r="U93" t="s">
        <v>325</v>
      </c>
      <c r="V93" t="s">
        <v>153</v>
      </c>
      <c r="W93" t="s">
        <v>381</v>
      </c>
      <c r="X93" t="s">
        <v>382</v>
      </c>
      <c r="Y93" t="s">
        <v>383</v>
      </c>
      <c r="Z93" t="s">
        <v>384</v>
      </c>
      <c r="AA93">
        <v>-2.2794737941999998</v>
      </c>
      <c r="AB93">
        <v>-79.906965462100004</v>
      </c>
      <c r="AC93">
        <v>0</v>
      </c>
      <c r="AD93">
        <f>+VLOOKUP(L93,Evalua!$G$2:$H$12,2,0)</f>
        <v>1</v>
      </c>
      <c r="AE93">
        <f>+VLOOKUP(M93,Evalua!$G$2:$H$12,2,0)</f>
        <v>2</v>
      </c>
    </row>
    <row r="94" spans="1:31" hidden="1" x14ac:dyDescent="0.2">
      <c r="A94" s="1" t="s">
        <v>319</v>
      </c>
      <c r="B94" t="s">
        <v>261</v>
      </c>
      <c r="E94" s="3" t="s">
        <v>1998</v>
      </c>
      <c r="G94" t="s">
        <v>98</v>
      </c>
      <c r="H94" t="s">
        <v>153</v>
      </c>
      <c r="I94" t="s">
        <v>26</v>
      </c>
      <c r="J94" t="s">
        <v>99</v>
      </c>
      <c r="K94" t="s">
        <v>46</v>
      </c>
      <c r="L94" t="s">
        <v>28</v>
      </c>
      <c r="M94" t="s">
        <v>29</v>
      </c>
      <c r="N94" t="str">
        <f>+VLOOKUP(A94,[1]Buscador!$B:$E,4,0)</f>
        <v>Samborondón</v>
      </c>
      <c r="O94" t="str">
        <f>+VLOOKUP(A94,[1]Buscador!$B:$F,5,0)</f>
        <v>Guayas</v>
      </c>
      <c r="P94" t="s">
        <v>31</v>
      </c>
      <c r="S94" t="s">
        <v>32</v>
      </c>
      <c r="T94" t="s">
        <v>33</v>
      </c>
      <c r="U94" t="s">
        <v>261</v>
      </c>
      <c r="V94" t="s">
        <v>153</v>
      </c>
      <c r="W94" t="s">
        <v>320</v>
      </c>
      <c r="X94" t="s">
        <v>321</v>
      </c>
      <c r="Y94" t="s">
        <v>322</v>
      </c>
      <c r="Z94" t="s">
        <v>323</v>
      </c>
      <c r="AA94">
        <v>-2.1416837491999998</v>
      </c>
      <c r="AB94">
        <v>-79.864768909000006</v>
      </c>
      <c r="AC94">
        <v>0</v>
      </c>
      <c r="AD94">
        <f>+VLOOKUP(L94,Evalua!$G$2:$H$12,2,0)</f>
        <v>1</v>
      </c>
      <c r="AE94">
        <f>+VLOOKUP(M94,Evalua!$G$2:$H$12,2,0)</f>
        <v>2</v>
      </c>
    </row>
    <row r="95" spans="1:31" hidden="1" x14ac:dyDescent="0.2">
      <c r="A95" s="1" t="s">
        <v>876</v>
      </c>
      <c r="B95" t="s">
        <v>822</v>
      </c>
      <c r="E95" s="3" t="s">
        <v>2001</v>
      </c>
      <c r="G95" t="s">
        <v>98</v>
      </c>
      <c r="H95" t="s">
        <v>153</v>
      </c>
      <c r="I95" t="s">
        <v>26</v>
      </c>
      <c r="J95" t="s">
        <v>99</v>
      </c>
      <c r="K95" t="s">
        <v>46</v>
      </c>
      <c r="L95" t="s">
        <v>28</v>
      </c>
      <c r="M95" t="s">
        <v>29</v>
      </c>
      <c r="N95" t="str">
        <f>+VLOOKUP(A95,[1]Buscador!$B:$E,4,0)</f>
        <v>Guayaquil</v>
      </c>
      <c r="O95" t="str">
        <f>+VLOOKUP(A95,[1]Buscador!$B:$F,5,0)</f>
        <v>Guayas</v>
      </c>
      <c r="P95" t="s">
        <v>31</v>
      </c>
      <c r="S95" t="s">
        <v>32</v>
      </c>
      <c r="T95" t="s">
        <v>33</v>
      </c>
      <c r="U95" t="s">
        <v>822</v>
      </c>
      <c r="V95" t="s">
        <v>153</v>
      </c>
      <c r="W95" t="s">
        <v>877</v>
      </c>
      <c r="X95" t="s">
        <v>878</v>
      </c>
      <c r="Y95" t="s">
        <v>879</v>
      </c>
      <c r="Z95" t="s">
        <v>880</v>
      </c>
      <c r="AA95">
        <v>-2.1403560000000001</v>
      </c>
      <c r="AB95">
        <v>-79.925518999999994</v>
      </c>
      <c r="AC95">
        <v>0</v>
      </c>
      <c r="AD95">
        <f>+VLOOKUP(L95,Evalua!$G$2:$H$12,2,0)</f>
        <v>1</v>
      </c>
      <c r="AE95">
        <f>+VLOOKUP(M95,Evalua!$G$2:$H$12,2,0)</f>
        <v>2</v>
      </c>
    </row>
    <row r="96" spans="1:31" hidden="1" x14ac:dyDescent="0.2">
      <c r="A96" s="1" t="s">
        <v>648</v>
      </c>
      <c r="B96" t="s">
        <v>594</v>
      </c>
      <c r="D96" t="s">
        <v>1994</v>
      </c>
      <c r="E96" t="s">
        <v>1991</v>
      </c>
      <c r="G96" t="s">
        <v>98</v>
      </c>
      <c r="H96" t="s">
        <v>1970</v>
      </c>
      <c r="I96" t="s">
        <v>26</v>
      </c>
      <c r="J96" t="s">
        <v>99</v>
      </c>
      <c r="K96" t="s">
        <v>170</v>
      </c>
      <c r="L96" t="s">
        <v>123</v>
      </c>
      <c r="M96" t="s">
        <v>160</v>
      </c>
      <c r="N96" t="str">
        <f>+VLOOKUP(A96,[1]Buscador!$B:$E,4,0)</f>
        <v>Manta</v>
      </c>
      <c r="O96" t="str">
        <f>+VLOOKUP(A96,[1]Buscador!$B:$F,5,0)</f>
        <v>Manabí</v>
      </c>
      <c r="P96" t="s">
        <v>153</v>
      </c>
      <c r="S96" t="s">
        <v>370</v>
      </c>
      <c r="T96" t="s">
        <v>126</v>
      </c>
      <c r="U96" t="s">
        <v>594</v>
      </c>
      <c r="V96" t="s">
        <v>153</v>
      </c>
      <c r="W96" t="s">
        <v>649</v>
      </c>
      <c r="X96" t="s">
        <v>650</v>
      </c>
      <c r="Y96" t="s">
        <v>651</v>
      </c>
      <c r="Z96" t="s">
        <v>652</v>
      </c>
      <c r="AA96">
        <v>-0.94494581789999998</v>
      </c>
      <c r="AB96">
        <v>-80.732905258900004</v>
      </c>
      <c r="AC96">
        <v>0</v>
      </c>
      <c r="AD96">
        <f>+VLOOKUP(L96,Evalua!$G$2:$H$12,2,0)</f>
        <v>4</v>
      </c>
      <c r="AE96">
        <f>+VLOOKUP(M96,Evalua!$G$2:$H$12,2,0)</f>
        <v>1</v>
      </c>
    </row>
    <row r="97" spans="1:31" hidden="1" x14ac:dyDescent="0.2">
      <c r="A97" s="1" t="s">
        <v>1122</v>
      </c>
      <c r="B97" t="s">
        <v>1067</v>
      </c>
      <c r="E97" s="3" t="s">
        <v>1997</v>
      </c>
      <c r="G97" t="s">
        <v>98</v>
      </c>
      <c r="H97" t="s">
        <v>153</v>
      </c>
      <c r="I97" t="s">
        <v>26</v>
      </c>
      <c r="J97" t="s">
        <v>99</v>
      </c>
      <c r="K97" t="s">
        <v>46</v>
      </c>
      <c r="L97" t="s">
        <v>28</v>
      </c>
      <c r="M97" t="s">
        <v>29</v>
      </c>
      <c r="N97" t="str">
        <f>+VLOOKUP(A97,[1]Buscador!$B:$E,4,0)</f>
        <v>Guayaquil</v>
      </c>
      <c r="O97" t="str">
        <f>+VLOOKUP(A97,[1]Buscador!$B:$F,5,0)</f>
        <v>Guayas</v>
      </c>
      <c r="P97" t="s">
        <v>153</v>
      </c>
      <c r="S97" t="s">
        <v>32</v>
      </c>
      <c r="T97" t="s">
        <v>33</v>
      </c>
      <c r="U97" t="s">
        <v>1067</v>
      </c>
      <c r="V97" t="s">
        <v>153</v>
      </c>
      <c r="W97" t="s">
        <v>1123</v>
      </c>
      <c r="X97" t="s">
        <v>1124</v>
      </c>
      <c r="Y97" t="s">
        <v>1125</v>
      </c>
      <c r="Z97" t="s">
        <v>1126</v>
      </c>
      <c r="AA97">
        <v>-2.0847648663</v>
      </c>
      <c r="AB97">
        <v>-79.920308066299995</v>
      </c>
      <c r="AC97">
        <v>0</v>
      </c>
      <c r="AD97">
        <f>+VLOOKUP(L97,Evalua!$G$2:$H$12,2,0)</f>
        <v>1</v>
      </c>
      <c r="AE97">
        <f>+VLOOKUP(M97,Evalua!$G$2:$H$12,2,0)</f>
        <v>2</v>
      </c>
    </row>
    <row r="98" spans="1:31" hidden="1" x14ac:dyDescent="0.2">
      <c r="A98" s="1" t="s">
        <v>1817</v>
      </c>
      <c r="B98" t="s">
        <v>1818</v>
      </c>
      <c r="D98" t="s">
        <v>2014</v>
      </c>
      <c r="E98" t="s">
        <v>2006</v>
      </c>
      <c r="G98" t="s">
        <v>766</v>
      </c>
      <c r="H98" t="s">
        <v>153</v>
      </c>
      <c r="I98" t="s">
        <v>26</v>
      </c>
      <c r="J98" t="s">
        <v>2</v>
      </c>
      <c r="K98" t="s">
        <v>46</v>
      </c>
      <c r="L98" t="s">
        <v>28</v>
      </c>
      <c r="M98" t="s">
        <v>29</v>
      </c>
      <c r="N98" t="str">
        <f>+VLOOKUP(A98,[1]Buscador!$B:$E,4,0)</f>
        <v>Samborondón</v>
      </c>
      <c r="O98" t="str">
        <f>+VLOOKUP(A98,[1]Buscador!$B:$F,5,0)</f>
        <v>Guayas</v>
      </c>
      <c r="P98" t="s">
        <v>31</v>
      </c>
      <c r="S98" t="s">
        <v>32</v>
      </c>
      <c r="T98" t="s">
        <v>33</v>
      </c>
      <c r="U98" t="s">
        <v>386</v>
      </c>
      <c r="V98" t="s">
        <v>153</v>
      </c>
      <c r="X98" t="s">
        <v>1819</v>
      </c>
      <c r="Z98" t="s">
        <v>971</v>
      </c>
      <c r="AA98">
        <v>-2.1133265276055599</v>
      </c>
      <c r="AB98">
        <v>-79.870816069313094</v>
      </c>
      <c r="AC98">
        <v>0</v>
      </c>
      <c r="AD98">
        <f>+VLOOKUP(L98,Evalua!$G$2:$H$12,2,0)</f>
        <v>1</v>
      </c>
      <c r="AE98">
        <f>+VLOOKUP(M98,Evalua!$G$2:$H$12,2,0)</f>
        <v>2</v>
      </c>
    </row>
    <row r="99" spans="1:31" hidden="1" x14ac:dyDescent="0.2">
      <c r="A99" s="1" t="s">
        <v>967</v>
      </c>
      <c r="B99" t="s">
        <v>913</v>
      </c>
      <c r="D99" t="s">
        <v>2014</v>
      </c>
      <c r="E99" t="s">
        <v>2006</v>
      </c>
      <c r="G99" t="s">
        <v>98</v>
      </c>
      <c r="H99" t="s">
        <v>153</v>
      </c>
      <c r="I99" t="s">
        <v>26</v>
      </c>
      <c r="J99" t="s">
        <v>99</v>
      </c>
      <c r="K99" t="s">
        <v>46</v>
      </c>
      <c r="L99" t="s">
        <v>28</v>
      </c>
      <c r="M99" t="s">
        <v>29</v>
      </c>
      <c r="N99" t="str">
        <f>+VLOOKUP(A99,[1]Buscador!$B:$E,4,0)</f>
        <v>Samborondón</v>
      </c>
      <c r="O99" t="str">
        <f>+VLOOKUP(A99,[1]Buscador!$B:$F,5,0)</f>
        <v>Guayas</v>
      </c>
      <c r="P99" t="s">
        <v>31</v>
      </c>
      <c r="S99" t="s">
        <v>32</v>
      </c>
      <c r="T99" t="s">
        <v>33</v>
      </c>
      <c r="U99" t="s">
        <v>913</v>
      </c>
      <c r="V99" t="s">
        <v>153</v>
      </c>
      <c r="W99" t="s">
        <v>968</v>
      </c>
      <c r="X99" t="s">
        <v>969</v>
      </c>
      <c r="Y99" t="s">
        <v>970</v>
      </c>
      <c r="Z99" t="s">
        <v>971</v>
      </c>
      <c r="AA99">
        <v>-2.1133265275999999</v>
      </c>
      <c r="AB99">
        <v>-79.870816069300005</v>
      </c>
      <c r="AC99">
        <v>0</v>
      </c>
      <c r="AD99">
        <f>+VLOOKUP(L99,Evalua!$G$2:$H$12,2,0)</f>
        <v>1</v>
      </c>
      <c r="AE99">
        <f>+VLOOKUP(M99,Evalua!$G$2:$H$12,2,0)</f>
        <v>2</v>
      </c>
    </row>
    <row r="100" spans="1:31" hidden="1" x14ac:dyDescent="0.2">
      <c r="A100" s="1" t="s">
        <v>937</v>
      </c>
      <c r="B100" t="s">
        <v>882</v>
      </c>
      <c r="D100" t="s">
        <v>2024</v>
      </c>
      <c r="E100" s="3" t="s">
        <v>1997</v>
      </c>
      <c r="G100" t="s">
        <v>98</v>
      </c>
      <c r="H100" t="s">
        <v>153</v>
      </c>
      <c r="I100" t="s">
        <v>26</v>
      </c>
      <c r="J100" t="s">
        <v>99</v>
      </c>
      <c r="K100" t="s">
        <v>46</v>
      </c>
      <c r="L100" t="s">
        <v>28</v>
      </c>
      <c r="M100" t="s">
        <v>29</v>
      </c>
      <c r="N100" t="str">
        <f>+VLOOKUP(A100,[1]Buscador!$B:$E,4,0)</f>
        <v>Durán</v>
      </c>
      <c r="O100" t="str">
        <f>+VLOOKUP(A100,[1]Buscador!$B:$F,5,0)</f>
        <v>Guayas</v>
      </c>
      <c r="P100" t="s">
        <v>31</v>
      </c>
      <c r="S100" t="s">
        <v>32</v>
      </c>
      <c r="T100" t="s">
        <v>33</v>
      </c>
      <c r="U100" t="s">
        <v>882</v>
      </c>
      <c r="V100" t="s">
        <v>153</v>
      </c>
      <c r="W100" t="s">
        <v>938</v>
      </c>
      <c r="X100" t="s">
        <v>939</v>
      </c>
      <c r="Y100" t="s">
        <v>940</v>
      </c>
      <c r="Z100" t="s">
        <v>941</v>
      </c>
      <c r="AA100">
        <v>-2.2130281686000002</v>
      </c>
      <c r="AB100">
        <v>-79.826093445200001</v>
      </c>
      <c r="AC100">
        <v>0</v>
      </c>
      <c r="AD100">
        <f>+VLOOKUP(L100,Evalua!$G$2:$H$12,2,0)</f>
        <v>1</v>
      </c>
      <c r="AE100">
        <f>+VLOOKUP(M100,Evalua!$G$2:$H$12,2,0)</f>
        <v>2</v>
      </c>
    </row>
    <row r="101" spans="1:31" hidden="1" x14ac:dyDescent="0.2">
      <c r="A101" s="1" t="s">
        <v>912</v>
      </c>
      <c r="B101" t="s">
        <v>857</v>
      </c>
      <c r="G101" t="s">
        <v>98</v>
      </c>
      <c r="H101" t="s">
        <v>153</v>
      </c>
      <c r="I101" t="s">
        <v>26</v>
      </c>
      <c r="J101" t="s">
        <v>99</v>
      </c>
      <c r="K101" t="s">
        <v>27</v>
      </c>
      <c r="L101" t="s">
        <v>28</v>
      </c>
      <c r="M101" t="s">
        <v>29</v>
      </c>
      <c r="N101" t="str">
        <f>+VLOOKUP(A101,[1]Buscador!$B:$E,4,0)</f>
        <v>Quito</v>
      </c>
      <c r="O101" t="str">
        <f>+VLOOKUP(A101,[1]Buscador!$B:$F,5,0)</f>
        <v>Pichincha</v>
      </c>
      <c r="P101" t="s">
        <v>31</v>
      </c>
      <c r="S101" t="s">
        <v>32</v>
      </c>
      <c r="T101" t="s">
        <v>33</v>
      </c>
      <c r="U101" t="s">
        <v>857</v>
      </c>
      <c r="V101" t="s">
        <v>153</v>
      </c>
      <c r="W101" t="s">
        <v>913</v>
      </c>
      <c r="X101" t="s">
        <v>914</v>
      </c>
      <c r="Y101" t="s">
        <v>915</v>
      </c>
      <c r="Z101" t="s">
        <v>916</v>
      </c>
      <c r="AA101">
        <v>-0.15907670260000001</v>
      </c>
      <c r="AB101">
        <v>-78.483303379000006</v>
      </c>
      <c r="AC101">
        <v>0</v>
      </c>
      <c r="AD101">
        <f>+VLOOKUP(L101,Evalua!$G$2:$H$12,2,0)</f>
        <v>1</v>
      </c>
      <c r="AE101">
        <f>+VLOOKUP(M101,Evalua!$G$2:$H$12,2,0)</f>
        <v>2</v>
      </c>
    </row>
    <row r="102" spans="1:31" hidden="1" x14ac:dyDescent="0.2">
      <c r="A102" s="1" t="s">
        <v>339</v>
      </c>
      <c r="B102" t="s">
        <v>282</v>
      </c>
      <c r="D102" t="s">
        <v>2002</v>
      </c>
      <c r="E102" t="s">
        <v>1997</v>
      </c>
      <c r="G102" t="s">
        <v>98</v>
      </c>
      <c r="H102" t="s">
        <v>153</v>
      </c>
      <c r="I102" t="s">
        <v>26</v>
      </c>
      <c r="J102" t="s">
        <v>99</v>
      </c>
      <c r="K102" t="s">
        <v>46</v>
      </c>
      <c r="L102" t="s">
        <v>28</v>
      </c>
      <c r="M102" t="s">
        <v>29</v>
      </c>
      <c r="N102" t="str">
        <f>+VLOOKUP(A102,[1]Buscador!$B:$E,4,0)</f>
        <v>Guayaquil</v>
      </c>
      <c r="O102" t="str">
        <f>+VLOOKUP(A102,[1]Buscador!$B:$F,5,0)</f>
        <v>Guayas</v>
      </c>
      <c r="P102" t="s">
        <v>31</v>
      </c>
      <c r="S102" t="s">
        <v>32</v>
      </c>
      <c r="T102" t="s">
        <v>33</v>
      </c>
      <c r="U102" t="s">
        <v>282</v>
      </c>
      <c r="V102" t="s">
        <v>153</v>
      </c>
      <c r="W102" t="s">
        <v>340</v>
      </c>
      <c r="X102" t="s">
        <v>341</v>
      </c>
      <c r="Y102" t="s">
        <v>342</v>
      </c>
      <c r="Z102" t="s">
        <v>343</v>
      </c>
      <c r="AA102">
        <v>-2.1552713632999998</v>
      </c>
      <c r="AB102">
        <v>-79.890638596900004</v>
      </c>
      <c r="AC102">
        <v>0</v>
      </c>
      <c r="AD102">
        <f>+VLOOKUP(L102,Evalua!$G$2:$H$12,2,0)</f>
        <v>1</v>
      </c>
      <c r="AE102">
        <f>+VLOOKUP(M102,Evalua!$G$2:$H$12,2,0)</f>
        <v>2</v>
      </c>
    </row>
    <row r="103" spans="1:31" hidden="1" x14ac:dyDescent="0.2">
      <c r="A103" s="1" t="s">
        <v>1462</v>
      </c>
      <c r="B103" t="s">
        <v>1463</v>
      </c>
      <c r="D103" t="s">
        <v>1990</v>
      </c>
      <c r="E103" t="s">
        <v>1997</v>
      </c>
      <c r="G103" t="s">
        <v>1464</v>
      </c>
      <c r="H103" t="s">
        <v>153</v>
      </c>
      <c r="I103" t="s">
        <v>26</v>
      </c>
      <c r="J103" t="s">
        <v>2</v>
      </c>
      <c r="K103" t="s">
        <v>46</v>
      </c>
      <c r="L103" t="s">
        <v>28</v>
      </c>
      <c r="M103" t="s">
        <v>29</v>
      </c>
      <c r="N103" t="str">
        <f>+VLOOKUP(A103,[1]Buscador!$B:$E,4,0)</f>
        <v>Guayaquil</v>
      </c>
      <c r="O103" t="str">
        <f>+VLOOKUP(A103,[1]Buscador!$B:$F,5,0)</f>
        <v>Guayas</v>
      </c>
      <c r="P103" t="s">
        <v>31</v>
      </c>
      <c r="S103" t="s">
        <v>32</v>
      </c>
      <c r="T103" t="s">
        <v>33</v>
      </c>
      <c r="U103" t="s">
        <v>1272</v>
      </c>
      <c r="V103" t="s">
        <v>153</v>
      </c>
      <c r="W103" t="s">
        <v>1465</v>
      </c>
      <c r="X103" t="s">
        <v>1466</v>
      </c>
      <c r="Y103" t="s">
        <v>1467</v>
      </c>
      <c r="Z103" t="s">
        <v>1468</v>
      </c>
      <c r="AA103">
        <v>-2.0928561683</v>
      </c>
      <c r="AB103">
        <v>-79.911859219600004</v>
      </c>
      <c r="AC103">
        <v>0</v>
      </c>
      <c r="AD103">
        <f>+VLOOKUP(L103,Evalua!$G$2:$H$12,2,0)</f>
        <v>1</v>
      </c>
      <c r="AE103">
        <f>+VLOOKUP(M103,Evalua!$G$2:$H$12,2,0)</f>
        <v>2</v>
      </c>
    </row>
    <row r="104" spans="1:31" hidden="1" x14ac:dyDescent="0.2">
      <c r="A104" s="1" t="s">
        <v>907</v>
      </c>
      <c r="B104" t="s">
        <v>852</v>
      </c>
      <c r="E104" s="3" t="s">
        <v>2000</v>
      </c>
      <c r="G104" t="s">
        <v>98</v>
      </c>
      <c r="H104" t="s">
        <v>153</v>
      </c>
      <c r="I104" t="s">
        <v>26</v>
      </c>
      <c r="J104" t="s">
        <v>99</v>
      </c>
      <c r="K104" t="s">
        <v>46</v>
      </c>
      <c r="L104" t="s">
        <v>28</v>
      </c>
      <c r="M104" t="s">
        <v>29</v>
      </c>
      <c r="N104" t="str">
        <f>+VLOOKUP(A104,[1]Buscador!$B:$E,4,0)</f>
        <v>Guayaquil</v>
      </c>
      <c r="O104" t="str">
        <f>+VLOOKUP(A104,[1]Buscador!$B:$F,5,0)</f>
        <v>Guayas</v>
      </c>
      <c r="P104" t="s">
        <v>31</v>
      </c>
      <c r="S104" t="s">
        <v>32</v>
      </c>
      <c r="T104" t="s">
        <v>33</v>
      </c>
      <c r="U104" t="s">
        <v>852</v>
      </c>
      <c r="V104" t="s">
        <v>153</v>
      </c>
      <c r="W104" t="s">
        <v>908</v>
      </c>
      <c r="X104" t="s">
        <v>909</v>
      </c>
      <c r="Y104" t="s">
        <v>910</v>
      </c>
      <c r="Z104" t="s">
        <v>911</v>
      </c>
      <c r="AA104">
        <v>-2.1839940000000002</v>
      </c>
      <c r="AB104">
        <v>-79.976910000000004</v>
      </c>
      <c r="AC104">
        <v>0</v>
      </c>
      <c r="AD104">
        <f>+VLOOKUP(L104,Evalua!$G$2:$H$12,2,0)</f>
        <v>1</v>
      </c>
      <c r="AE104">
        <f>+VLOOKUP(M104,Evalua!$G$2:$H$12,2,0)</f>
        <v>2</v>
      </c>
    </row>
    <row r="105" spans="1:31" hidden="1" x14ac:dyDescent="0.2">
      <c r="A105" s="1" t="s">
        <v>760</v>
      </c>
      <c r="B105" t="s">
        <v>704</v>
      </c>
      <c r="D105" t="s">
        <v>1996</v>
      </c>
      <c r="G105" t="s">
        <v>98</v>
      </c>
      <c r="H105" t="s">
        <v>153</v>
      </c>
      <c r="I105" t="s">
        <v>26</v>
      </c>
      <c r="J105" t="s">
        <v>99</v>
      </c>
      <c r="K105" t="s">
        <v>46</v>
      </c>
      <c r="L105" t="s">
        <v>28</v>
      </c>
      <c r="M105" t="s">
        <v>29</v>
      </c>
      <c r="N105" t="str">
        <f>+VLOOKUP(A105,[1]Buscador!$B:$E,4,0)</f>
        <v>Guayaquil</v>
      </c>
      <c r="O105" t="str">
        <f>+VLOOKUP(A105,[1]Buscador!$B:$F,5,0)</f>
        <v>Guayas</v>
      </c>
      <c r="P105" t="s">
        <v>153</v>
      </c>
      <c r="S105" t="s">
        <v>32</v>
      </c>
      <c r="T105" t="s">
        <v>33</v>
      </c>
      <c r="U105" t="s">
        <v>704</v>
      </c>
      <c r="V105" t="s">
        <v>153</v>
      </c>
      <c r="W105" t="s">
        <v>761</v>
      </c>
      <c r="X105" t="s">
        <v>762</v>
      </c>
      <c r="Y105" t="s">
        <v>763</v>
      </c>
      <c r="Z105" t="s">
        <v>764</v>
      </c>
      <c r="AA105">
        <v>-2.1837770000000001</v>
      </c>
      <c r="AB105">
        <v>-79.983940000000004</v>
      </c>
      <c r="AC105">
        <v>0</v>
      </c>
      <c r="AD105">
        <f>+VLOOKUP(L105,Evalua!$G$2:$H$12,2,0)</f>
        <v>1</v>
      </c>
      <c r="AE105">
        <f>+VLOOKUP(M105,Evalua!$G$2:$H$12,2,0)</f>
        <v>2</v>
      </c>
    </row>
    <row r="106" spans="1:31" hidden="1" x14ac:dyDescent="0.2">
      <c r="A106" s="1" t="s">
        <v>776</v>
      </c>
      <c r="B106" t="s">
        <v>719</v>
      </c>
      <c r="E106" s="3" t="s">
        <v>2009</v>
      </c>
      <c r="G106" t="s">
        <v>98</v>
      </c>
      <c r="H106" t="s">
        <v>153</v>
      </c>
      <c r="I106" t="s">
        <v>26</v>
      </c>
      <c r="J106" t="s">
        <v>99</v>
      </c>
      <c r="K106" t="s">
        <v>46</v>
      </c>
      <c r="L106" t="s">
        <v>28</v>
      </c>
      <c r="M106" t="s">
        <v>29</v>
      </c>
      <c r="N106" t="str">
        <f>+VLOOKUP(A106,[1]Buscador!$B:$E,4,0)</f>
        <v>Guayaquil</v>
      </c>
      <c r="O106" t="str">
        <f>+VLOOKUP(A106,[1]Buscador!$B:$F,5,0)</f>
        <v>Guayas</v>
      </c>
      <c r="P106" t="s">
        <v>153</v>
      </c>
      <c r="S106" t="s">
        <v>32</v>
      </c>
      <c r="T106" t="s">
        <v>33</v>
      </c>
      <c r="U106" t="s">
        <v>719</v>
      </c>
      <c r="V106" t="s">
        <v>153</v>
      </c>
      <c r="W106" t="s">
        <v>777</v>
      </c>
      <c r="X106" t="s">
        <v>778</v>
      </c>
      <c r="Y106" t="s">
        <v>779</v>
      </c>
      <c r="Z106" t="s">
        <v>780</v>
      </c>
      <c r="AA106">
        <v>-2.1194514112</v>
      </c>
      <c r="AB106">
        <v>-79.932722559499993</v>
      </c>
      <c r="AC106">
        <v>0</v>
      </c>
      <c r="AD106">
        <f>+VLOOKUP(L106,Evalua!$G$2:$H$12,2,0)</f>
        <v>1</v>
      </c>
      <c r="AE106">
        <f>+VLOOKUP(M106,Evalua!$G$2:$H$12,2,0)</f>
        <v>2</v>
      </c>
    </row>
    <row r="107" spans="1:31" hidden="1" x14ac:dyDescent="0.2">
      <c r="A107" s="1" t="s">
        <v>1594</v>
      </c>
      <c r="B107" t="s">
        <v>1595</v>
      </c>
      <c r="D107" t="s">
        <v>2002</v>
      </c>
      <c r="E107" t="s">
        <v>1997</v>
      </c>
      <c r="G107" t="s">
        <v>1596</v>
      </c>
      <c r="H107" t="s">
        <v>153</v>
      </c>
      <c r="I107" t="s">
        <v>26</v>
      </c>
      <c r="J107" t="s">
        <v>2</v>
      </c>
      <c r="K107" t="s">
        <v>46</v>
      </c>
      <c r="L107" t="s">
        <v>28</v>
      </c>
      <c r="M107" t="s">
        <v>29</v>
      </c>
      <c r="N107" t="str">
        <f>+VLOOKUP(A107,[1]Buscador!$B:$E,4,0)</f>
        <v>Guayaquil</v>
      </c>
      <c r="O107" t="str">
        <f>+VLOOKUP(A107,[1]Buscador!$B:$F,5,0)</f>
        <v>Guayas</v>
      </c>
      <c r="P107" t="s">
        <v>31</v>
      </c>
      <c r="S107" t="s">
        <v>32</v>
      </c>
      <c r="T107" t="s">
        <v>33</v>
      </c>
      <c r="U107" t="s">
        <v>1350</v>
      </c>
      <c r="V107" t="s">
        <v>153</v>
      </c>
      <c r="X107" t="s">
        <v>1597</v>
      </c>
      <c r="Z107" t="s">
        <v>1929</v>
      </c>
      <c r="AA107">
        <v>-2.1554236042518999</v>
      </c>
      <c r="AB107">
        <v>-79.893033267529006</v>
      </c>
      <c r="AC107">
        <v>0</v>
      </c>
      <c r="AD107">
        <f>+VLOOKUP(L107,Evalua!$G$2:$H$12,2,0)</f>
        <v>1</v>
      </c>
      <c r="AE107">
        <f>+VLOOKUP(M107,Evalua!$G$2:$H$12,2,0)</f>
        <v>2</v>
      </c>
    </row>
    <row r="108" spans="1:31" hidden="1" x14ac:dyDescent="0.2">
      <c r="A108" s="1" t="s">
        <v>1389</v>
      </c>
      <c r="B108" t="s">
        <v>1390</v>
      </c>
      <c r="D108" t="s">
        <v>2002</v>
      </c>
      <c r="E108" t="s">
        <v>1997</v>
      </c>
      <c r="G108" t="s">
        <v>1391</v>
      </c>
      <c r="H108" t="s">
        <v>153</v>
      </c>
      <c r="I108" t="s">
        <v>26</v>
      </c>
      <c r="J108" t="s">
        <v>2</v>
      </c>
      <c r="K108" t="s">
        <v>46</v>
      </c>
      <c r="L108" t="s">
        <v>1392</v>
      </c>
      <c r="M108" t="s">
        <v>29</v>
      </c>
      <c r="N108" t="str">
        <f>+VLOOKUP(A108,[1]Buscador!$B:$E,4,0)</f>
        <v>Guayaquil</v>
      </c>
      <c r="O108" t="str">
        <f>+VLOOKUP(A108,[1]Buscador!$B:$F,5,0)</f>
        <v>Guayas</v>
      </c>
      <c r="P108" t="s">
        <v>31</v>
      </c>
      <c r="S108" t="s">
        <v>1393</v>
      </c>
      <c r="T108" t="s">
        <v>33</v>
      </c>
      <c r="U108" t="s">
        <v>1240</v>
      </c>
      <c r="V108" t="s">
        <v>153</v>
      </c>
      <c r="W108" t="s">
        <v>1112</v>
      </c>
      <c r="X108" t="s">
        <v>1394</v>
      </c>
      <c r="Y108" t="s">
        <v>1395</v>
      </c>
      <c r="Z108" t="s">
        <v>1396</v>
      </c>
      <c r="AA108">
        <v>-2.2261039999999999</v>
      </c>
      <c r="AB108">
        <v>-79.889968999999994</v>
      </c>
      <c r="AC108">
        <v>0</v>
      </c>
      <c r="AD108">
        <f>+VLOOKUP(L108,Evalua!$G$2:$H$12,2,0)</f>
        <v>2</v>
      </c>
      <c r="AE108">
        <f>+VLOOKUP(M108,Evalua!$G$2:$H$12,2,0)</f>
        <v>2</v>
      </c>
    </row>
    <row r="109" spans="1:31" hidden="1" x14ac:dyDescent="0.2">
      <c r="A109" s="1" t="s">
        <v>1598</v>
      </c>
      <c r="B109" t="s">
        <v>1599</v>
      </c>
      <c r="D109" t="s">
        <v>2002</v>
      </c>
      <c r="E109" t="s">
        <v>1997</v>
      </c>
      <c r="G109" t="s">
        <v>1596</v>
      </c>
      <c r="H109" t="s">
        <v>153</v>
      </c>
      <c r="I109" t="s">
        <v>26</v>
      </c>
      <c r="J109" t="s">
        <v>2</v>
      </c>
      <c r="K109" t="s">
        <v>46</v>
      </c>
      <c r="L109" t="s">
        <v>28</v>
      </c>
      <c r="M109" t="s">
        <v>29</v>
      </c>
      <c r="N109" t="str">
        <f>+VLOOKUP(A109,[1]Buscador!$B:$E,4,0)</f>
        <v>Guayaquil</v>
      </c>
      <c r="O109" t="str">
        <f>+VLOOKUP(A109,[1]Buscador!$B:$F,5,0)</f>
        <v>Guayas</v>
      </c>
      <c r="P109" t="s">
        <v>31</v>
      </c>
      <c r="S109" t="s">
        <v>32</v>
      </c>
      <c r="T109" t="s">
        <v>33</v>
      </c>
      <c r="U109" t="s">
        <v>1350</v>
      </c>
      <c r="V109" t="s">
        <v>153</v>
      </c>
      <c r="X109" t="s">
        <v>1600</v>
      </c>
      <c r="Z109" t="s">
        <v>1929</v>
      </c>
      <c r="AA109">
        <v>-2.1554236042518999</v>
      </c>
      <c r="AB109">
        <v>-79.893033267529006</v>
      </c>
      <c r="AC109">
        <v>0</v>
      </c>
      <c r="AD109">
        <f>+VLOOKUP(L109,Evalua!$G$2:$H$12,2,0)</f>
        <v>1</v>
      </c>
      <c r="AE109">
        <f>+VLOOKUP(M109,Evalua!$G$2:$H$12,2,0)</f>
        <v>2</v>
      </c>
    </row>
    <row r="110" spans="1:31" hidden="1" x14ac:dyDescent="0.2">
      <c r="A110" s="1" t="s">
        <v>1055</v>
      </c>
      <c r="B110" t="s">
        <v>1001</v>
      </c>
      <c r="E110" s="3" t="s">
        <v>1997</v>
      </c>
      <c r="G110" t="s">
        <v>98</v>
      </c>
      <c r="H110" t="s">
        <v>153</v>
      </c>
      <c r="I110" t="s">
        <v>26</v>
      </c>
      <c r="J110" t="s">
        <v>99</v>
      </c>
      <c r="K110" t="s">
        <v>46</v>
      </c>
      <c r="L110" t="s">
        <v>81</v>
      </c>
      <c r="M110" t="s">
        <v>160</v>
      </c>
      <c r="N110" t="str">
        <f>+VLOOKUP(A110,[1]Buscador!$B:$E,4,0)</f>
        <v>Durán</v>
      </c>
      <c r="O110" t="str">
        <f>+VLOOKUP(A110,[1]Buscador!$B:$F,5,0)</f>
        <v>Guayas</v>
      </c>
      <c r="P110" t="s">
        <v>31</v>
      </c>
      <c r="S110" t="s">
        <v>208</v>
      </c>
      <c r="T110" t="s">
        <v>126</v>
      </c>
      <c r="U110" t="s">
        <v>1001</v>
      </c>
      <c r="V110" t="s">
        <v>153</v>
      </c>
      <c r="W110" t="s">
        <v>1056</v>
      </c>
      <c r="X110" t="s">
        <v>1057</v>
      </c>
      <c r="Y110" t="s">
        <v>1058</v>
      </c>
      <c r="Z110" t="s">
        <v>1059</v>
      </c>
      <c r="AA110">
        <v>-2.1649928954000002</v>
      </c>
      <c r="AB110">
        <v>-79.844669602500005</v>
      </c>
      <c r="AC110">
        <v>0</v>
      </c>
      <c r="AD110">
        <f>+VLOOKUP(L110,Evalua!$G$2:$H$12,2,0)</f>
        <v>3</v>
      </c>
      <c r="AE110">
        <f>+VLOOKUP(M110,Evalua!$G$2:$H$12,2,0)</f>
        <v>1</v>
      </c>
    </row>
    <row r="111" spans="1:31" hidden="1" x14ac:dyDescent="0.2">
      <c r="A111" s="1" t="s">
        <v>1280</v>
      </c>
      <c r="B111" t="s">
        <v>1281</v>
      </c>
      <c r="D111" t="s">
        <v>2002</v>
      </c>
      <c r="E111" t="s">
        <v>1997</v>
      </c>
      <c r="G111" t="s">
        <v>1282</v>
      </c>
      <c r="H111" t="s">
        <v>153</v>
      </c>
      <c r="I111" t="s">
        <v>26</v>
      </c>
      <c r="J111" t="s">
        <v>2</v>
      </c>
      <c r="K111" t="s">
        <v>46</v>
      </c>
      <c r="L111" t="s">
        <v>28</v>
      </c>
      <c r="M111" t="s">
        <v>29</v>
      </c>
      <c r="N111" t="str">
        <f>+VLOOKUP(A111,[1]Buscador!$B:$E,4,0)</f>
        <v>Guayaquil</v>
      </c>
      <c r="O111" t="str">
        <f>+VLOOKUP(A111,[1]Buscador!$B:$F,5,0)</f>
        <v>Guayas</v>
      </c>
      <c r="P111" t="s">
        <v>153</v>
      </c>
      <c r="S111" t="s">
        <v>32</v>
      </c>
      <c r="T111" t="s">
        <v>33</v>
      </c>
      <c r="U111" t="s">
        <v>1198</v>
      </c>
      <c r="V111" t="s">
        <v>153</v>
      </c>
      <c r="W111" t="s">
        <v>1283</v>
      </c>
      <c r="X111" t="s">
        <v>1284</v>
      </c>
      <c r="Y111" t="s">
        <v>1285</v>
      </c>
      <c r="Z111" t="s">
        <v>1286</v>
      </c>
      <c r="AA111">
        <v>-2.1902053666999999</v>
      </c>
      <c r="AB111">
        <v>-79.942694741099999</v>
      </c>
      <c r="AC111">
        <v>0</v>
      </c>
      <c r="AD111">
        <f>+VLOOKUP(L111,Evalua!$G$2:$H$12,2,0)</f>
        <v>1</v>
      </c>
      <c r="AE111">
        <f>+VLOOKUP(M111,Evalua!$G$2:$H$12,2,0)</f>
        <v>2</v>
      </c>
    </row>
    <row r="112" spans="1:31" hidden="1" x14ac:dyDescent="0.2">
      <c r="A112" s="1" t="s">
        <v>428</v>
      </c>
      <c r="B112" t="s">
        <v>371</v>
      </c>
      <c r="E112" s="3" t="s">
        <v>1997</v>
      </c>
      <c r="G112" t="s">
        <v>98</v>
      </c>
      <c r="H112" t="s">
        <v>153</v>
      </c>
      <c r="I112" t="s">
        <v>26</v>
      </c>
      <c r="J112" t="s">
        <v>99</v>
      </c>
      <c r="K112" t="s">
        <v>46</v>
      </c>
      <c r="L112" t="s">
        <v>81</v>
      </c>
      <c r="M112" t="s">
        <v>29</v>
      </c>
      <c r="N112" t="str">
        <f>+VLOOKUP(A112,[1]Buscador!$B:$E,4,0)</f>
        <v>Guayaquil</v>
      </c>
      <c r="O112" t="str">
        <f>+VLOOKUP(A112,[1]Buscador!$B:$F,5,0)</f>
        <v>Guayas</v>
      </c>
      <c r="P112" t="s">
        <v>153</v>
      </c>
      <c r="S112" t="s">
        <v>82</v>
      </c>
      <c r="T112" t="s">
        <v>83</v>
      </c>
      <c r="U112" t="s">
        <v>371</v>
      </c>
      <c r="V112" t="s">
        <v>153</v>
      </c>
      <c r="W112" t="s">
        <v>429</v>
      </c>
      <c r="X112" t="s">
        <v>430</v>
      </c>
      <c r="Y112" t="s">
        <v>431</v>
      </c>
      <c r="Z112" t="s">
        <v>432</v>
      </c>
      <c r="AA112">
        <v>-2.1280260000000002</v>
      </c>
      <c r="AB112">
        <v>-79.892673000000002</v>
      </c>
      <c r="AC112">
        <v>0</v>
      </c>
      <c r="AD112">
        <f>+VLOOKUP(L112,Evalua!$G$2:$H$12,2,0)</f>
        <v>3</v>
      </c>
      <c r="AE112">
        <f>+VLOOKUP(M112,Evalua!$G$2:$H$12,2,0)</f>
        <v>2</v>
      </c>
    </row>
    <row r="113" spans="1:31" hidden="1" x14ac:dyDescent="0.2">
      <c r="A113" s="1" t="s">
        <v>1010</v>
      </c>
      <c r="B113" t="s">
        <v>953</v>
      </c>
      <c r="D113" t="s">
        <v>2003</v>
      </c>
      <c r="E113" t="s">
        <v>1991</v>
      </c>
      <c r="G113" t="s">
        <v>98</v>
      </c>
      <c r="H113" t="s">
        <v>153</v>
      </c>
      <c r="I113" t="s">
        <v>26</v>
      </c>
      <c r="J113" t="s">
        <v>99</v>
      </c>
      <c r="K113" t="s">
        <v>170</v>
      </c>
      <c r="L113" t="s">
        <v>81</v>
      </c>
      <c r="M113" t="s">
        <v>160</v>
      </c>
      <c r="N113" t="str">
        <f>+VLOOKUP(A113,[1]Buscador!$B:$E,4,0)</f>
        <v>Portoviejo</v>
      </c>
      <c r="O113" t="str">
        <f>+VLOOKUP(A113,[1]Buscador!$B:$F,5,0)</f>
        <v>Manabí</v>
      </c>
      <c r="P113" t="s">
        <v>153</v>
      </c>
      <c r="S113" t="s">
        <v>208</v>
      </c>
      <c r="T113" t="s">
        <v>126</v>
      </c>
      <c r="U113" t="s">
        <v>953</v>
      </c>
      <c r="V113" t="s">
        <v>153</v>
      </c>
      <c r="W113" t="s">
        <v>1011</v>
      </c>
      <c r="X113" t="s">
        <v>1012</v>
      </c>
      <c r="Y113" t="s">
        <v>1013</v>
      </c>
      <c r="Z113" t="s">
        <v>1014</v>
      </c>
      <c r="AA113">
        <v>-1.061762367</v>
      </c>
      <c r="AB113">
        <v>-80.458987089000004</v>
      </c>
      <c r="AC113">
        <v>0</v>
      </c>
      <c r="AD113">
        <f>+VLOOKUP(L113,Evalua!$G$2:$H$12,2,0)</f>
        <v>3</v>
      </c>
      <c r="AE113">
        <f>+VLOOKUP(M113,Evalua!$G$2:$H$12,2,0)</f>
        <v>1</v>
      </c>
    </row>
    <row r="114" spans="1:31" hidden="1" x14ac:dyDescent="0.2">
      <c r="A114" s="1" t="s">
        <v>1269</v>
      </c>
      <c r="B114" t="s">
        <v>1270</v>
      </c>
      <c r="G114" t="s">
        <v>1271</v>
      </c>
      <c r="H114" t="s">
        <v>153</v>
      </c>
      <c r="I114" t="s">
        <v>26</v>
      </c>
      <c r="J114" t="s">
        <v>2</v>
      </c>
      <c r="K114" t="s">
        <v>27</v>
      </c>
      <c r="L114" t="s">
        <v>28</v>
      </c>
      <c r="M114" t="s">
        <v>29</v>
      </c>
      <c r="N114" t="str">
        <f>+VLOOKUP(A114,[1]Buscador!$B:$E,4,0)</f>
        <v>Cumbaya</v>
      </c>
      <c r="O114" t="str">
        <f>+VLOOKUP(A114,[1]Buscador!$B:$F,5,0)</f>
        <v>Pichincha</v>
      </c>
      <c r="P114" t="s">
        <v>31</v>
      </c>
      <c r="S114" t="s">
        <v>32</v>
      </c>
      <c r="T114" t="s">
        <v>33</v>
      </c>
      <c r="U114" t="s">
        <v>1193</v>
      </c>
      <c r="V114" t="s">
        <v>153</v>
      </c>
      <c r="W114" t="s">
        <v>1272</v>
      </c>
      <c r="X114" t="s">
        <v>1273</v>
      </c>
      <c r="Y114" t="s">
        <v>1274</v>
      </c>
      <c r="Z114" t="s">
        <v>1275</v>
      </c>
      <c r="AA114">
        <v>-0.198908</v>
      </c>
      <c r="AB114">
        <v>-78.436092000000002</v>
      </c>
      <c r="AC114">
        <v>0</v>
      </c>
      <c r="AD114">
        <f>+VLOOKUP(L114,Evalua!$G$2:$H$12,2,0)</f>
        <v>1</v>
      </c>
      <c r="AE114">
        <f>+VLOOKUP(M114,Evalua!$G$2:$H$12,2,0)</f>
        <v>2</v>
      </c>
    </row>
    <row r="115" spans="1:31" hidden="1" x14ac:dyDescent="0.2">
      <c r="A115" s="1" t="s">
        <v>1704</v>
      </c>
      <c r="B115" t="s">
        <v>1705</v>
      </c>
      <c r="D115" t="s">
        <v>2003</v>
      </c>
      <c r="E115" t="s">
        <v>1991</v>
      </c>
      <c r="G115" t="s">
        <v>169</v>
      </c>
      <c r="H115" t="s">
        <v>153</v>
      </c>
      <c r="I115" t="s">
        <v>26</v>
      </c>
      <c r="J115" t="s">
        <v>2</v>
      </c>
      <c r="K115" t="s">
        <v>170</v>
      </c>
      <c r="L115" t="s">
        <v>81</v>
      </c>
      <c r="M115" t="s">
        <v>29</v>
      </c>
      <c r="N115" t="str">
        <f>+VLOOKUP(A115,[1]Buscador!$B:$E,4,0)</f>
        <v>Portoviejo</v>
      </c>
      <c r="O115" t="str">
        <f>+VLOOKUP(A115,[1]Buscador!$B:$F,5,0)</f>
        <v>Manabí</v>
      </c>
      <c r="P115" t="s">
        <v>31</v>
      </c>
      <c r="S115" t="s">
        <v>82</v>
      </c>
      <c r="T115" t="s">
        <v>83</v>
      </c>
      <c r="U115" t="s">
        <v>171</v>
      </c>
      <c r="V115" t="s">
        <v>153</v>
      </c>
      <c r="X115" t="s">
        <v>1706</v>
      </c>
      <c r="Z115" t="s">
        <v>1943</v>
      </c>
      <c r="AA115">
        <v>-1.0509264862944001</v>
      </c>
      <c r="AB115">
        <v>-80.462363347939004</v>
      </c>
      <c r="AC115">
        <v>0</v>
      </c>
      <c r="AD115">
        <f>+VLOOKUP(L115,Evalua!$G$2:$H$12,2,0)</f>
        <v>3</v>
      </c>
      <c r="AE115">
        <f>+VLOOKUP(M115,Evalua!$G$2:$H$12,2,0)</f>
        <v>2</v>
      </c>
    </row>
    <row r="116" spans="1:31" hidden="1" x14ac:dyDescent="0.2">
      <c r="A116" s="1" t="s">
        <v>786</v>
      </c>
      <c r="B116" t="s">
        <v>731</v>
      </c>
      <c r="E116" s="3" t="s">
        <v>1998</v>
      </c>
      <c r="G116" t="s">
        <v>98</v>
      </c>
      <c r="H116" t="s">
        <v>153</v>
      </c>
      <c r="I116" t="s">
        <v>26</v>
      </c>
      <c r="J116" t="s">
        <v>99</v>
      </c>
      <c r="K116" t="s">
        <v>46</v>
      </c>
      <c r="L116" t="s">
        <v>28</v>
      </c>
      <c r="M116" t="s">
        <v>29</v>
      </c>
      <c r="N116" t="str">
        <f>+VLOOKUP(A116,[1]Buscador!$B:$E,4,0)</f>
        <v>Guayaquil</v>
      </c>
      <c r="O116" t="str">
        <f>+VLOOKUP(A116,[1]Buscador!$B:$F,5,0)</f>
        <v>Guayas</v>
      </c>
      <c r="P116" t="s">
        <v>31</v>
      </c>
      <c r="S116" t="s">
        <v>32</v>
      </c>
      <c r="T116" t="s">
        <v>33</v>
      </c>
      <c r="U116" t="s">
        <v>731</v>
      </c>
      <c r="V116" t="s">
        <v>153</v>
      </c>
      <c r="W116" t="s">
        <v>787</v>
      </c>
      <c r="X116" t="s">
        <v>788</v>
      </c>
      <c r="Y116" t="s">
        <v>789</v>
      </c>
      <c r="Z116" t="s">
        <v>790</v>
      </c>
      <c r="AA116">
        <v>-2.0988609999999999</v>
      </c>
      <c r="AB116">
        <v>-79.935445000000001</v>
      </c>
      <c r="AC116">
        <v>0</v>
      </c>
      <c r="AD116">
        <f>+VLOOKUP(L116,Evalua!$G$2:$H$12,2,0)</f>
        <v>1</v>
      </c>
      <c r="AE116">
        <f>+VLOOKUP(M116,Evalua!$G$2:$H$12,2,0)</f>
        <v>2</v>
      </c>
    </row>
    <row r="117" spans="1:31" hidden="1" x14ac:dyDescent="0.2">
      <c r="A117" s="1" t="s">
        <v>1025</v>
      </c>
      <c r="B117" t="s">
        <v>968</v>
      </c>
      <c r="E117" s="3" t="s">
        <v>1997</v>
      </c>
      <c r="G117" t="s">
        <v>98</v>
      </c>
      <c r="H117" t="s">
        <v>153</v>
      </c>
      <c r="I117" t="s">
        <v>26</v>
      </c>
      <c r="J117" t="s">
        <v>99</v>
      </c>
      <c r="K117" t="s">
        <v>46</v>
      </c>
      <c r="L117" t="s">
        <v>81</v>
      </c>
      <c r="M117" t="s">
        <v>29</v>
      </c>
      <c r="N117" t="str">
        <f>+VLOOKUP(A117,[1]Buscador!$B:$E,4,0)</f>
        <v>Guayaquil</v>
      </c>
      <c r="O117" t="str">
        <f>+VLOOKUP(A117,[1]Buscador!$B:$F,5,0)</f>
        <v>Guayas</v>
      </c>
      <c r="P117" t="s">
        <v>31</v>
      </c>
      <c r="S117" t="s">
        <v>82</v>
      </c>
      <c r="T117" t="s">
        <v>83</v>
      </c>
      <c r="U117" t="s">
        <v>968</v>
      </c>
      <c r="V117" t="s">
        <v>153</v>
      </c>
      <c r="W117" t="s">
        <v>1026</v>
      </c>
      <c r="X117" t="s">
        <v>1027</v>
      </c>
      <c r="Y117" t="s">
        <v>1028</v>
      </c>
      <c r="Z117" t="s">
        <v>1029</v>
      </c>
      <c r="AA117">
        <v>-2.1321880000000002</v>
      </c>
      <c r="AB117">
        <v>-79.908045999999999</v>
      </c>
      <c r="AC117">
        <v>0</v>
      </c>
      <c r="AD117">
        <f>+VLOOKUP(L117,Evalua!$G$2:$H$12,2,0)</f>
        <v>3</v>
      </c>
      <c r="AE117">
        <f>+VLOOKUP(M117,Evalua!$G$2:$H$12,2,0)</f>
        <v>2</v>
      </c>
    </row>
    <row r="118" spans="1:31" hidden="1" x14ac:dyDescent="0.2">
      <c r="A118" s="1" t="s">
        <v>552</v>
      </c>
      <c r="B118" t="s">
        <v>498</v>
      </c>
      <c r="E118" s="3" t="s">
        <v>1997</v>
      </c>
      <c r="G118" t="s">
        <v>98</v>
      </c>
      <c r="H118" t="s">
        <v>153</v>
      </c>
      <c r="I118" t="s">
        <v>26</v>
      </c>
      <c r="J118" t="s">
        <v>99</v>
      </c>
      <c r="K118" t="s">
        <v>46</v>
      </c>
      <c r="L118" t="s">
        <v>81</v>
      </c>
      <c r="M118" t="s">
        <v>29</v>
      </c>
      <c r="N118" t="str">
        <f>+VLOOKUP(A118,[1]Buscador!$B:$E,4,0)</f>
        <v>Guayaquil</v>
      </c>
      <c r="O118" t="str">
        <f>+VLOOKUP(A118,[1]Buscador!$B:$F,5,0)</f>
        <v>Guayas</v>
      </c>
      <c r="P118" t="s">
        <v>31</v>
      </c>
      <c r="S118" t="s">
        <v>82</v>
      </c>
      <c r="T118" t="s">
        <v>83</v>
      </c>
      <c r="U118" t="s">
        <v>498</v>
      </c>
      <c r="V118" t="s">
        <v>153</v>
      </c>
      <c r="W118" t="s">
        <v>553</v>
      </c>
      <c r="X118" t="s">
        <v>554</v>
      </c>
      <c r="Y118" t="s">
        <v>555</v>
      </c>
      <c r="Z118" t="s">
        <v>556</v>
      </c>
      <c r="AA118">
        <v>-2.0936569999999999</v>
      </c>
      <c r="AB118">
        <v>-79.937042000000005</v>
      </c>
      <c r="AC118">
        <v>0</v>
      </c>
      <c r="AD118">
        <f>+VLOOKUP(L118,Evalua!$G$2:$H$12,2,0)</f>
        <v>3</v>
      </c>
      <c r="AE118">
        <f>+VLOOKUP(M118,Evalua!$G$2:$H$12,2,0)</f>
        <v>2</v>
      </c>
    </row>
    <row r="119" spans="1:31" hidden="1" x14ac:dyDescent="0.2">
      <c r="A119" s="1" t="s">
        <v>1683</v>
      </c>
      <c r="B119" t="s">
        <v>1684</v>
      </c>
      <c r="D119" t="s">
        <v>2002</v>
      </c>
      <c r="E119" t="s">
        <v>1997</v>
      </c>
      <c r="G119" t="s">
        <v>1685</v>
      </c>
      <c r="H119" t="s">
        <v>153</v>
      </c>
      <c r="I119" t="s">
        <v>26</v>
      </c>
      <c r="J119" t="s">
        <v>2</v>
      </c>
      <c r="K119" t="s">
        <v>46</v>
      </c>
      <c r="L119" t="s">
        <v>28</v>
      </c>
      <c r="M119" t="s">
        <v>29</v>
      </c>
      <c r="N119" t="str">
        <f>+VLOOKUP(A119,[1]Buscador!$B:$E,4,0)</f>
        <v>General Villamil Playas</v>
      </c>
      <c r="O119" t="str">
        <f>+VLOOKUP(A119,[1]Buscador!$B:$F,5,0)</f>
        <v>Guayas</v>
      </c>
      <c r="P119" t="s">
        <v>153</v>
      </c>
      <c r="S119" t="s">
        <v>32</v>
      </c>
      <c r="T119" t="s">
        <v>33</v>
      </c>
      <c r="U119" t="s">
        <v>1414</v>
      </c>
      <c r="V119" t="s">
        <v>153</v>
      </c>
      <c r="X119" t="s">
        <v>1686</v>
      </c>
      <c r="Z119" t="s">
        <v>1940</v>
      </c>
      <c r="AA119">
        <v>-2.6429693045424001</v>
      </c>
      <c r="AB119">
        <v>-80.385091008597996</v>
      </c>
      <c r="AC119">
        <v>0</v>
      </c>
      <c r="AD119">
        <f>+VLOOKUP(L119,Evalua!$G$2:$H$12,2,0)</f>
        <v>1</v>
      </c>
      <c r="AE119">
        <f>+VLOOKUP(M119,Evalua!$G$2:$H$12,2,0)</f>
        <v>2</v>
      </c>
    </row>
    <row r="120" spans="1:31" hidden="1" x14ac:dyDescent="0.2">
      <c r="A120" s="1" t="s">
        <v>1822</v>
      </c>
      <c r="B120" t="s">
        <v>1823</v>
      </c>
      <c r="D120" t="s">
        <v>2003</v>
      </c>
      <c r="E120" t="s">
        <v>1997</v>
      </c>
      <c r="G120" t="s">
        <v>1824</v>
      </c>
      <c r="H120" t="s">
        <v>153</v>
      </c>
      <c r="I120" t="s">
        <v>26</v>
      </c>
      <c r="J120" t="s">
        <v>2</v>
      </c>
      <c r="K120" t="s">
        <v>46</v>
      </c>
      <c r="L120" t="s">
        <v>28</v>
      </c>
      <c r="M120" t="s">
        <v>29</v>
      </c>
      <c r="N120" t="str">
        <f>+VLOOKUP(A120,[1]Buscador!$B:$E,4,0)</f>
        <v>Guayaquil</v>
      </c>
      <c r="O120" t="str">
        <f>+VLOOKUP(A120,[1]Buscador!$B:$F,5,0)</f>
        <v>Guayas</v>
      </c>
      <c r="P120" t="s">
        <v>31</v>
      </c>
      <c r="S120" t="s">
        <v>32</v>
      </c>
      <c r="T120" t="s">
        <v>33</v>
      </c>
      <c r="U120" t="s">
        <v>1529</v>
      </c>
      <c r="V120" t="s">
        <v>153</v>
      </c>
      <c r="X120" t="s">
        <v>1825</v>
      </c>
      <c r="Z120" t="s">
        <v>1960</v>
      </c>
      <c r="AA120">
        <v>-2.1694677273971998</v>
      </c>
      <c r="AB120">
        <v>-79.898525228330001</v>
      </c>
      <c r="AC120">
        <v>0</v>
      </c>
      <c r="AD120">
        <f>+VLOOKUP(L120,Evalua!$G$2:$H$12,2,0)</f>
        <v>1</v>
      </c>
      <c r="AE120">
        <f>+VLOOKUP(M120,Evalua!$G$2:$H$12,2,0)</f>
        <v>2</v>
      </c>
    </row>
    <row r="121" spans="1:31" hidden="1" x14ac:dyDescent="0.2">
      <c r="A121" s="1" t="s">
        <v>537</v>
      </c>
      <c r="B121" t="s">
        <v>483</v>
      </c>
      <c r="E121" s="3" t="s">
        <v>2006</v>
      </c>
      <c r="G121" t="s">
        <v>98</v>
      </c>
      <c r="H121" t="s">
        <v>153</v>
      </c>
      <c r="I121" t="s">
        <v>26</v>
      </c>
      <c r="J121" t="s">
        <v>99</v>
      </c>
      <c r="K121" t="s">
        <v>46</v>
      </c>
      <c r="L121" t="s">
        <v>28</v>
      </c>
      <c r="M121" t="s">
        <v>29</v>
      </c>
      <c r="N121" t="str">
        <f>+VLOOKUP(A121,[1]Buscador!$B:$E,4,0)</f>
        <v>La Aurora</v>
      </c>
      <c r="O121" t="str">
        <f>+VLOOKUP(A121,[1]Buscador!$B:$F,5,0)</f>
        <v>Guayas</v>
      </c>
      <c r="P121" t="s">
        <v>153</v>
      </c>
      <c r="S121" t="s">
        <v>32</v>
      </c>
      <c r="T121" t="s">
        <v>33</v>
      </c>
      <c r="U121" t="s">
        <v>483</v>
      </c>
      <c r="V121" t="s">
        <v>153</v>
      </c>
      <c r="W121" t="s">
        <v>538</v>
      </c>
      <c r="X121" t="s">
        <v>539</v>
      </c>
      <c r="Y121" t="s">
        <v>540</v>
      </c>
      <c r="Z121" t="s">
        <v>541</v>
      </c>
      <c r="AA121">
        <v>-2.0541479735000001</v>
      </c>
      <c r="AB121">
        <v>-79.873834894300003</v>
      </c>
      <c r="AC121">
        <v>0</v>
      </c>
      <c r="AD121">
        <f>+VLOOKUP(L121,Evalua!$G$2:$H$12,2,0)</f>
        <v>1</v>
      </c>
      <c r="AE121">
        <f>+VLOOKUP(M121,Evalua!$G$2:$H$12,2,0)</f>
        <v>2</v>
      </c>
    </row>
    <row r="122" spans="1:31" hidden="1" x14ac:dyDescent="0.2">
      <c r="A122" s="1" t="s">
        <v>1342</v>
      </c>
      <c r="B122" t="s">
        <v>1343</v>
      </c>
      <c r="D122" t="s">
        <v>1996</v>
      </c>
      <c r="E122" t="s">
        <v>1997</v>
      </c>
      <c r="G122" t="s">
        <v>1344</v>
      </c>
      <c r="H122" t="s">
        <v>153</v>
      </c>
      <c r="I122" t="s">
        <v>26</v>
      </c>
      <c r="J122" t="s">
        <v>2</v>
      </c>
      <c r="K122" t="s">
        <v>46</v>
      </c>
      <c r="L122" t="s">
        <v>28</v>
      </c>
      <c r="M122" t="s">
        <v>29</v>
      </c>
      <c r="N122" t="str">
        <f>+VLOOKUP(A122,[1]Buscador!$B:$E,4,0)</f>
        <v>Guayaquil</v>
      </c>
      <c r="O122" t="str">
        <f>+VLOOKUP(A122,[1]Buscador!$B:$F,5,0)</f>
        <v>Guayas</v>
      </c>
      <c r="P122" t="s">
        <v>153</v>
      </c>
      <c r="S122" t="s">
        <v>32</v>
      </c>
      <c r="T122" t="s">
        <v>33</v>
      </c>
      <c r="U122" t="s">
        <v>1213</v>
      </c>
      <c r="V122" t="s">
        <v>153</v>
      </c>
      <c r="W122" t="s">
        <v>1345</v>
      </c>
      <c r="X122" t="s">
        <v>1346</v>
      </c>
      <c r="Y122" t="s">
        <v>1347</v>
      </c>
      <c r="Z122" t="s">
        <v>1348</v>
      </c>
      <c r="AA122">
        <v>-2.1502941296999998</v>
      </c>
      <c r="AB122">
        <v>-79.906397733199995</v>
      </c>
      <c r="AC122">
        <v>0</v>
      </c>
      <c r="AD122">
        <f>+VLOOKUP(L122,Evalua!$G$2:$H$12,2,0)</f>
        <v>1</v>
      </c>
      <c r="AE122">
        <f>+VLOOKUP(M122,Evalua!$G$2:$H$12,2,0)</f>
        <v>2</v>
      </c>
    </row>
    <row r="123" spans="1:31" hidden="1" x14ac:dyDescent="0.2">
      <c r="A123" s="1" t="s">
        <v>497</v>
      </c>
      <c r="B123" t="s">
        <v>444</v>
      </c>
      <c r="E123" s="3" t="s">
        <v>1997</v>
      </c>
      <c r="G123" t="s">
        <v>98</v>
      </c>
      <c r="H123" t="s">
        <v>153</v>
      </c>
      <c r="I123" t="s">
        <v>26</v>
      </c>
      <c r="J123" t="s">
        <v>99</v>
      </c>
      <c r="K123" t="s">
        <v>46</v>
      </c>
      <c r="L123" t="s">
        <v>81</v>
      </c>
      <c r="M123" t="s">
        <v>29</v>
      </c>
      <c r="N123" t="str">
        <f>+VLOOKUP(A123,[1]Buscador!$B:$E,4,0)</f>
        <v>Guayaquil</v>
      </c>
      <c r="O123" t="str">
        <f>+VLOOKUP(A123,[1]Buscador!$B:$F,5,0)</f>
        <v>Guayas</v>
      </c>
      <c r="P123" t="s">
        <v>31</v>
      </c>
      <c r="S123" t="s">
        <v>82</v>
      </c>
      <c r="T123" t="s">
        <v>83</v>
      </c>
      <c r="U123" t="s">
        <v>444</v>
      </c>
      <c r="V123" t="s">
        <v>153</v>
      </c>
      <c r="W123" t="s">
        <v>498</v>
      </c>
      <c r="X123" t="s">
        <v>499</v>
      </c>
      <c r="Y123" t="s">
        <v>500</v>
      </c>
      <c r="Z123" t="s">
        <v>501</v>
      </c>
      <c r="AA123">
        <v>-2.1212738859</v>
      </c>
      <c r="AB123">
        <v>-79.899860419600003</v>
      </c>
      <c r="AC123">
        <v>0</v>
      </c>
      <c r="AD123">
        <f>+VLOOKUP(L123,Evalua!$G$2:$H$12,2,0)</f>
        <v>3</v>
      </c>
      <c r="AE123">
        <f>+VLOOKUP(M123,Evalua!$G$2:$H$12,2,0)</f>
        <v>2</v>
      </c>
    </row>
    <row r="124" spans="1:31" hidden="1" x14ac:dyDescent="0.2">
      <c r="A124" s="1" t="s">
        <v>23</v>
      </c>
      <c r="B124" t="s">
        <v>24</v>
      </c>
      <c r="G124" t="s">
        <v>25</v>
      </c>
      <c r="H124" t="s">
        <v>153</v>
      </c>
      <c r="I124" t="s">
        <v>26</v>
      </c>
      <c r="J124" t="s">
        <v>2</v>
      </c>
      <c r="K124" t="s">
        <v>27</v>
      </c>
      <c r="L124" t="s">
        <v>28</v>
      </c>
      <c r="M124" t="s">
        <v>29</v>
      </c>
      <c r="N124" t="str">
        <f>+VLOOKUP(A124,[1]Buscador!$B:$E,4,0)</f>
        <v>Quito</v>
      </c>
      <c r="O124" t="str">
        <f>+VLOOKUP(A124,[1]Buscador!$B:$F,5,0)</f>
        <v>Pichincha</v>
      </c>
      <c r="P124" t="s">
        <v>31</v>
      </c>
      <c r="S124" t="s">
        <v>32</v>
      </c>
      <c r="T124" t="s">
        <v>33</v>
      </c>
      <c r="U124" t="s">
        <v>34</v>
      </c>
      <c r="V124" t="s">
        <v>153</v>
      </c>
      <c r="W124" t="s">
        <v>34</v>
      </c>
      <c r="X124" t="s">
        <v>35</v>
      </c>
      <c r="Y124" t="s">
        <v>36</v>
      </c>
      <c r="Z124" t="s">
        <v>37</v>
      </c>
      <c r="AA124">
        <v>-0.20603299999999999</v>
      </c>
      <c r="AB124">
        <v>-78.487365999999994</v>
      </c>
      <c r="AC124">
        <v>0</v>
      </c>
      <c r="AD124">
        <f>+VLOOKUP(M124,Evalua!$G$2:$H$12,2,0)</f>
        <v>2</v>
      </c>
      <c r="AE124">
        <f>+VLOOKUP(M124,Evalua!$G$2:$H$12,2,0)</f>
        <v>2</v>
      </c>
    </row>
    <row r="125" spans="1:31" hidden="1" x14ac:dyDescent="0.2">
      <c r="A125" s="1" t="s">
        <v>527</v>
      </c>
      <c r="B125" t="s">
        <v>473</v>
      </c>
      <c r="E125" s="3" t="s">
        <v>1998</v>
      </c>
      <c r="G125" t="s">
        <v>98</v>
      </c>
      <c r="H125" t="s">
        <v>153</v>
      </c>
      <c r="I125" t="s">
        <v>26</v>
      </c>
      <c r="J125" t="s">
        <v>99</v>
      </c>
      <c r="K125" t="s">
        <v>46</v>
      </c>
      <c r="L125" t="s">
        <v>28</v>
      </c>
      <c r="M125" t="s">
        <v>29</v>
      </c>
      <c r="N125" t="str">
        <f>+VLOOKUP(A125,[1]Buscador!$B:$E,4,0)</f>
        <v>Guayaquil</v>
      </c>
      <c r="O125" t="str">
        <f>+VLOOKUP(A125,[1]Buscador!$B:$F,5,0)</f>
        <v>Guayas</v>
      </c>
      <c r="P125" t="s">
        <v>31</v>
      </c>
      <c r="S125" t="s">
        <v>32</v>
      </c>
      <c r="T125" t="s">
        <v>33</v>
      </c>
      <c r="U125" t="s">
        <v>473</v>
      </c>
      <c r="V125" t="s">
        <v>153</v>
      </c>
      <c r="W125" t="s">
        <v>528</v>
      </c>
      <c r="X125" t="s">
        <v>529</v>
      </c>
      <c r="Y125" t="s">
        <v>530</v>
      </c>
      <c r="Z125" t="s">
        <v>531</v>
      </c>
      <c r="AA125">
        <v>-2.181969</v>
      </c>
      <c r="AB125">
        <v>-79.995841999999996</v>
      </c>
      <c r="AC125">
        <v>0</v>
      </c>
      <c r="AD125">
        <f>+VLOOKUP(L125,Evalua!$G$2:$H$12,2,0)</f>
        <v>1</v>
      </c>
      <c r="AE125">
        <f>+VLOOKUP(M125,Evalua!$G$2:$H$12,2,0)</f>
        <v>2</v>
      </c>
    </row>
    <row r="126" spans="1:31" hidden="1" x14ac:dyDescent="0.2">
      <c r="A126" s="1" t="s">
        <v>1434</v>
      </c>
      <c r="B126" t="s">
        <v>1435</v>
      </c>
      <c r="D126" t="s">
        <v>1990</v>
      </c>
      <c r="E126" t="s">
        <v>2007</v>
      </c>
      <c r="G126" t="s">
        <v>1430</v>
      </c>
      <c r="H126" t="s">
        <v>153</v>
      </c>
      <c r="I126" t="s">
        <v>26</v>
      </c>
      <c r="J126" t="s">
        <v>2</v>
      </c>
      <c r="K126" t="s">
        <v>183</v>
      </c>
      <c r="L126" t="s">
        <v>28</v>
      </c>
      <c r="M126" t="s">
        <v>160</v>
      </c>
      <c r="N126" t="str">
        <f>+VLOOKUP(A126,[1]Buscador!$B:$E,4,0)</f>
        <v>El Empalme</v>
      </c>
      <c r="O126" t="str">
        <f>+VLOOKUP(A126,[1]Buscador!$B:$F,5,0)</f>
        <v>Guayas</v>
      </c>
      <c r="P126" t="s">
        <v>31</v>
      </c>
      <c r="S126" t="s">
        <v>162</v>
      </c>
      <c r="T126" t="s">
        <v>83</v>
      </c>
      <c r="U126" t="s">
        <v>1256</v>
      </c>
      <c r="V126" t="s">
        <v>153</v>
      </c>
      <c r="W126" t="s">
        <v>1436</v>
      </c>
      <c r="X126" t="s">
        <v>1437</v>
      </c>
      <c r="Y126" t="s">
        <v>1438</v>
      </c>
      <c r="Z126" t="s">
        <v>1433</v>
      </c>
      <c r="AA126">
        <v>-1.0423740465</v>
      </c>
      <c r="AB126">
        <v>-79.637542364400005</v>
      </c>
      <c r="AC126">
        <v>0</v>
      </c>
      <c r="AD126">
        <f>+VLOOKUP(L126,Evalua!$G$2:$H$12,2,0)</f>
        <v>1</v>
      </c>
      <c r="AE126">
        <f>+VLOOKUP(M126,Evalua!$G$2:$H$12,2,0)</f>
        <v>1</v>
      </c>
    </row>
    <row r="127" spans="1:31" hidden="1" x14ac:dyDescent="0.2">
      <c r="A127" s="1" t="s">
        <v>1653</v>
      </c>
      <c r="B127" t="s">
        <v>1654</v>
      </c>
      <c r="D127" t="s">
        <v>2011</v>
      </c>
      <c r="E127" t="s">
        <v>1998</v>
      </c>
      <c r="G127" t="s">
        <v>1632</v>
      </c>
      <c r="H127" t="s">
        <v>153</v>
      </c>
      <c r="I127" t="s">
        <v>26</v>
      </c>
      <c r="J127" t="s">
        <v>2</v>
      </c>
      <c r="K127" t="s">
        <v>46</v>
      </c>
      <c r="L127" t="s">
        <v>123</v>
      </c>
      <c r="M127" t="s">
        <v>29</v>
      </c>
      <c r="N127" t="str">
        <f>+VLOOKUP(A127,[1]Buscador!$B:$E,4,0)</f>
        <v>Milagro</v>
      </c>
      <c r="O127" t="str">
        <f>+VLOOKUP(A127,[1]Buscador!$B:$F,5,0)</f>
        <v>Guayas</v>
      </c>
      <c r="P127" t="s">
        <v>31</v>
      </c>
      <c r="S127" t="s">
        <v>125</v>
      </c>
      <c r="T127" t="s">
        <v>126</v>
      </c>
      <c r="U127" t="s">
        <v>304</v>
      </c>
      <c r="V127" t="s">
        <v>153</v>
      </c>
      <c r="X127" t="s">
        <v>1655</v>
      </c>
      <c r="Z127" t="s">
        <v>1936</v>
      </c>
      <c r="AA127">
        <v>-2.1288529999999999</v>
      </c>
      <c r="AB127">
        <v>-79.591199000000003</v>
      </c>
      <c r="AC127">
        <v>0</v>
      </c>
      <c r="AD127">
        <f>+VLOOKUP(L127,Evalua!$G$2:$H$12,2,0)</f>
        <v>4</v>
      </c>
      <c r="AE127">
        <f>+VLOOKUP(M127,Evalua!$G$2:$H$12,2,0)</f>
        <v>2</v>
      </c>
    </row>
    <row r="128" spans="1:31" hidden="1" x14ac:dyDescent="0.2">
      <c r="A128" s="1" t="s">
        <v>917</v>
      </c>
      <c r="B128" t="s">
        <v>862</v>
      </c>
      <c r="G128" t="s">
        <v>98</v>
      </c>
      <c r="H128" t="s">
        <v>153</v>
      </c>
      <c r="I128" t="s">
        <v>26</v>
      </c>
      <c r="J128" t="s">
        <v>99</v>
      </c>
      <c r="K128" t="s">
        <v>27</v>
      </c>
      <c r="L128" t="s">
        <v>28</v>
      </c>
      <c r="M128" t="s">
        <v>29</v>
      </c>
      <c r="N128" t="str">
        <f>+VLOOKUP(A128,[1]Buscador!$B:$E,4,0)</f>
        <v>Quito</v>
      </c>
      <c r="O128" t="str">
        <f>+VLOOKUP(A128,[1]Buscador!$B:$F,5,0)</f>
        <v>Pichincha</v>
      </c>
      <c r="P128" t="s">
        <v>31</v>
      </c>
      <c r="S128" t="s">
        <v>32</v>
      </c>
      <c r="T128" t="s">
        <v>33</v>
      </c>
      <c r="U128" t="s">
        <v>862</v>
      </c>
      <c r="V128" t="s">
        <v>153</v>
      </c>
      <c r="W128" t="s">
        <v>918</v>
      </c>
      <c r="X128" t="s">
        <v>919</v>
      </c>
      <c r="Y128" t="s">
        <v>920</v>
      </c>
      <c r="Z128" t="s">
        <v>921</v>
      </c>
      <c r="AA128">
        <v>-0.27543699999999999</v>
      </c>
      <c r="AB128">
        <v>-78.512264999999999</v>
      </c>
      <c r="AC128">
        <v>0</v>
      </c>
      <c r="AD128">
        <f>+VLOOKUP(L128,Evalua!$G$2:$H$12,2,0)</f>
        <v>1</v>
      </c>
      <c r="AE128">
        <f>+VLOOKUP(M128,Evalua!$G$2:$H$12,2,0)</f>
        <v>2</v>
      </c>
    </row>
    <row r="129" spans="1:31" hidden="1" x14ac:dyDescent="0.2">
      <c r="A129" s="1" t="s">
        <v>1845</v>
      </c>
      <c r="B129" t="s">
        <v>1846</v>
      </c>
      <c r="D129" t="s">
        <v>1996</v>
      </c>
      <c r="E129" t="s">
        <v>1997</v>
      </c>
      <c r="G129" t="s">
        <v>58</v>
      </c>
      <c r="H129" t="s">
        <v>153</v>
      </c>
      <c r="I129" t="s">
        <v>26</v>
      </c>
      <c r="J129" t="s">
        <v>2</v>
      </c>
      <c r="K129" t="s">
        <v>46</v>
      </c>
      <c r="L129" t="s">
        <v>28</v>
      </c>
      <c r="M129" t="s">
        <v>29</v>
      </c>
      <c r="N129" t="str">
        <f>+VLOOKUP(A129,[1]Buscador!$B:$E,4,0)</f>
        <v>Guayaquil</v>
      </c>
      <c r="O129" t="str">
        <f>+VLOOKUP(A129,[1]Buscador!$B:$F,5,0)</f>
        <v>Guayas</v>
      </c>
      <c r="P129" t="s">
        <v>31</v>
      </c>
      <c r="S129" t="s">
        <v>32</v>
      </c>
      <c r="T129" t="s">
        <v>33</v>
      </c>
      <c r="U129" t="s">
        <v>1538</v>
      </c>
      <c r="V129" t="s">
        <v>153</v>
      </c>
      <c r="X129" t="s">
        <v>1847</v>
      </c>
      <c r="Z129" t="s">
        <v>1962</v>
      </c>
      <c r="AA129">
        <v>-2.1426674740639</v>
      </c>
      <c r="AB129">
        <v>-79.879234608459001</v>
      </c>
      <c r="AC129">
        <v>0</v>
      </c>
      <c r="AD129">
        <f>+VLOOKUP(L129,Evalua!$G$2:$H$12,2,0)</f>
        <v>1</v>
      </c>
      <c r="AE129">
        <f>+VLOOKUP(M129,Evalua!$G$2:$H$12,2,0)</f>
        <v>2</v>
      </c>
    </row>
    <row r="130" spans="1:31" hidden="1" x14ac:dyDescent="0.2">
      <c r="A130" s="1" t="s">
        <v>512</v>
      </c>
      <c r="B130" t="s">
        <v>459</v>
      </c>
      <c r="E130" s="3" t="s">
        <v>1998</v>
      </c>
      <c r="G130" t="s">
        <v>98</v>
      </c>
      <c r="H130" t="s">
        <v>153</v>
      </c>
      <c r="I130" t="s">
        <v>26</v>
      </c>
      <c r="J130" t="s">
        <v>99</v>
      </c>
      <c r="K130" t="s">
        <v>46</v>
      </c>
      <c r="L130" t="s">
        <v>81</v>
      </c>
      <c r="M130" t="s">
        <v>234</v>
      </c>
      <c r="N130" t="str">
        <f>+VLOOKUP(A130,[1]Buscador!$B:$E,4,0)</f>
        <v>Guayaquil</v>
      </c>
      <c r="O130" t="str">
        <f>+VLOOKUP(A130,[1]Buscador!$B:$F,5,0)</f>
        <v>Guayas</v>
      </c>
      <c r="P130" t="s">
        <v>31</v>
      </c>
      <c r="S130" t="s">
        <v>235</v>
      </c>
      <c r="T130" t="s">
        <v>33</v>
      </c>
      <c r="U130" t="s">
        <v>459</v>
      </c>
      <c r="V130" t="s">
        <v>153</v>
      </c>
      <c r="W130" t="s">
        <v>513</v>
      </c>
      <c r="X130" t="s">
        <v>514</v>
      </c>
      <c r="Y130" t="s">
        <v>515</v>
      </c>
      <c r="Z130" t="s">
        <v>516</v>
      </c>
      <c r="AA130">
        <v>-2.1012842571000001</v>
      </c>
      <c r="AB130">
        <v>-79.936597471699997</v>
      </c>
      <c r="AC130">
        <v>0</v>
      </c>
      <c r="AD130">
        <f>+VLOOKUP(L130,Evalua!$G$2:$H$12,2,0)</f>
        <v>3</v>
      </c>
      <c r="AE130">
        <f>+VLOOKUP(M130,Evalua!$G$2:$H$12,2,0)</f>
        <v>3</v>
      </c>
    </row>
    <row r="131" spans="1:31" hidden="1" x14ac:dyDescent="0.2">
      <c r="A131" s="1" t="s">
        <v>713</v>
      </c>
      <c r="B131" t="s">
        <v>659</v>
      </c>
      <c r="E131" s="3" t="s">
        <v>1998</v>
      </c>
      <c r="G131" t="s">
        <v>98</v>
      </c>
      <c r="H131" t="s">
        <v>153</v>
      </c>
      <c r="I131" t="s">
        <v>26</v>
      </c>
      <c r="J131" t="s">
        <v>99</v>
      </c>
      <c r="K131" t="s">
        <v>46</v>
      </c>
      <c r="L131" t="s">
        <v>81</v>
      </c>
      <c r="M131" t="s">
        <v>234</v>
      </c>
      <c r="N131" t="str">
        <f>+VLOOKUP(A131,[1]Buscador!$B:$E,4,0)</f>
        <v>Guayaquil</v>
      </c>
      <c r="O131" t="str">
        <f>+VLOOKUP(A131,[1]Buscador!$B:$F,5,0)</f>
        <v>Guayas</v>
      </c>
      <c r="P131" t="s">
        <v>31</v>
      </c>
      <c r="S131" t="s">
        <v>235</v>
      </c>
      <c r="T131" t="s">
        <v>33</v>
      </c>
      <c r="U131" t="s">
        <v>659</v>
      </c>
      <c r="V131" t="s">
        <v>153</v>
      </c>
      <c r="W131" t="s">
        <v>714</v>
      </c>
      <c r="X131" t="s">
        <v>715</v>
      </c>
      <c r="Y131" t="s">
        <v>716</v>
      </c>
      <c r="Z131" t="s">
        <v>717</v>
      </c>
      <c r="AA131">
        <v>-2.1070687870999998</v>
      </c>
      <c r="AB131">
        <v>-79.940824312900006</v>
      </c>
      <c r="AC131">
        <v>0</v>
      </c>
      <c r="AD131">
        <f>+VLOOKUP(L131,Evalua!$G$2:$H$12,2,0)</f>
        <v>3</v>
      </c>
      <c r="AE131">
        <f>+VLOOKUP(M131,Evalua!$G$2:$H$12,2,0)</f>
        <v>3</v>
      </c>
    </row>
    <row r="132" spans="1:31" hidden="1" x14ac:dyDescent="0.2">
      <c r="A132" s="1" t="s">
        <v>1512</v>
      </c>
      <c r="B132" t="s">
        <v>1513</v>
      </c>
      <c r="D132" t="s">
        <v>1990</v>
      </c>
      <c r="E132" t="s">
        <v>2000</v>
      </c>
      <c r="G132" t="s">
        <v>1507</v>
      </c>
      <c r="H132" t="s">
        <v>153</v>
      </c>
      <c r="I132" t="s">
        <v>26</v>
      </c>
      <c r="J132" t="s">
        <v>2</v>
      </c>
      <c r="K132" t="s">
        <v>46</v>
      </c>
      <c r="L132" t="s">
        <v>28</v>
      </c>
      <c r="M132" t="s">
        <v>29</v>
      </c>
      <c r="N132" t="str">
        <f>+VLOOKUP(A132,[1]Buscador!$B:$E,4,0)</f>
        <v>La Libertad</v>
      </c>
      <c r="O132" t="str">
        <f>+VLOOKUP(A132,[1]Buscador!$B:$F,5,0)</f>
        <v>Santa Elena</v>
      </c>
      <c r="P132" t="s">
        <v>31</v>
      </c>
      <c r="S132" t="s">
        <v>32</v>
      </c>
      <c r="T132" t="s">
        <v>33</v>
      </c>
      <c r="U132" t="s">
        <v>1294</v>
      </c>
      <c r="V132" t="s">
        <v>1922</v>
      </c>
      <c r="W132" t="s">
        <v>1514</v>
      </c>
      <c r="X132" t="s">
        <v>1515</v>
      </c>
      <c r="Y132" t="s">
        <v>1516</v>
      </c>
      <c r="Z132" t="s">
        <v>1511</v>
      </c>
      <c r="AA132">
        <v>-2.2212702792000001</v>
      </c>
      <c r="AB132">
        <v>-80.9081972245</v>
      </c>
      <c r="AC132">
        <v>0</v>
      </c>
      <c r="AD132">
        <f>+VLOOKUP(L132,Evalua!$G$2:$H$12,2,0)</f>
        <v>1</v>
      </c>
      <c r="AE132">
        <f>+VLOOKUP(M132,Evalua!$G$2:$H$12,2,0)</f>
        <v>2</v>
      </c>
    </row>
    <row r="133" spans="1:31" hidden="1" x14ac:dyDescent="0.2">
      <c r="A133" s="1" t="s">
        <v>1076</v>
      </c>
      <c r="B133" t="s">
        <v>1021</v>
      </c>
      <c r="E133" s="3" t="s">
        <v>2006</v>
      </c>
      <c r="G133" t="s">
        <v>98</v>
      </c>
      <c r="H133" t="s">
        <v>153</v>
      </c>
      <c r="I133" t="s">
        <v>26</v>
      </c>
      <c r="J133" t="s">
        <v>99</v>
      </c>
      <c r="K133" t="s">
        <v>46</v>
      </c>
      <c r="L133" t="s">
        <v>28</v>
      </c>
      <c r="M133" t="s">
        <v>29</v>
      </c>
      <c r="N133" t="str">
        <f>+VLOOKUP(A133,[1]Buscador!$B:$E,4,0)</f>
        <v>La Aurora</v>
      </c>
      <c r="O133" t="str">
        <f>+VLOOKUP(A133,[1]Buscador!$B:$F,5,0)</f>
        <v>Guayas</v>
      </c>
      <c r="P133" t="s">
        <v>31</v>
      </c>
      <c r="S133" t="s">
        <v>32</v>
      </c>
      <c r="T133" t="s">
        <v>33</v>
      </c>
      <c r="U133" t="s">
        <v>1021</v>
      </c>
      <c r="V133" t="s">
        <v>153</v>
      </c>
      <c r="W133" t="s">
        <v>1077</v>
      </c>
      <c r="X133" t="s">
        <v>1078</v>
      </c>
      <c r="Y133" t="s">
        <v>1079</v>
      </c>
      <c r="Z133" t="s">
        <v>1080</v>
      </c>
      <c r="AA133">
        <v>-2.0525768049000002</v>
      </c>
      <c r="AB133">
        <v>-79.880695271199997</v>
      </c>
      <c r="AC133">
        <v>0</v>
      </c>
      <c r="AD133">
        <f>+VLOOKUP(L133,Evalua!$G$2:$H$12,2,0)</f>
        <v>1</v>
      </c>
      <c r="AE133">
        <f>+VLOOKUP(M133,Evalua!$G$2:$H$12,2,0)</f>
        <v>2</v>
      </c>
    </row>
    <row r="134" spans="1:31" hidden="1" x14ac:dyDescent="0.2">
      <c r="A134" s="1" t="s">
        <v>962</v>
      </c>
      <c r="B134" t="s">
        <v>908</v>
      </c>
      <c r="E134" s="3" t="s">
        <v>1997</v>
      </c>
      <c r="G134" t="s">
        <v>98</v>
      </c>
      <c r="H134" t="s">
        <v>153</v>
      </c>
      <c r="I134" t="s">
        <v>26</v>
      </c>
      <c r="J134" t="s">
        <v>99</v>
      </c>
      <c r="K134" t="s">
        <v>46</v>
      </c>
      <c r="L134" t="s">
        <v>28</v>
      </c>
      <c r="M134" t="s">
        <v>29</v>
      </c>
      <c r="N134" t="str">
        <f>+VLOOKUP(A134,[1]Buscador!$B:$E,4,0)</f>
        <v>Guayaquil</v>
      </c>
      <c r="O134" t="str">
        <f>+VLOOKUP(A134,[1]Buscador!$B:$F,5,0)</f>
        <v>Guayas</v>
      </c>
      <c r="P134" t="s">
        <v>31</v>
      </c>
      <c r="S134" t="s">
        <v>32</v>
      </c>
      <c r="T134" t="s">
        <v>33</v>
      </c>
      <c r="U134" t="s">
        <v>908</v>
      </c>
      <c r="V134" t="s">
        <v>153</v>
      </c>
      <c r="W134" t="s">
        <v>963</v>
      </c>
      <c r="X134" t="s">
        <v>964</v>
      </c>
      <c r="Y134" t="s">
        <v>965</v>
      </c>
      <c r="Z134" t="s">
        <v>966</v>
      </c>
      <c r="AA134">
        <v>-2.1822450452000002</v>
      </c>
      <c r="AB134">
        <v>-79.889762360199995</v>
      </c>
      <c r="AC134">
        <v>0</v>
      </c>
      <c r="AD134">
        <f>+VLOOKUP(L134,Evalua!$G$2:$H$12,2,0)</f>
        <v>1</v>
      </c>
      <c r="AE134">
        <f>+VLOOKUP(M134,Evalua!$G$2:$H$12,2,0)</f>
        <v>2</v>
      </c>
    </row>
    <row r="135" spans="1:31" hidden="1" x14ac:dyDescent="0.2">
      <c r="A135" s="1" t="s">
        <v>557</v>
      </c>
      <c r="B135" t="s">
        <v>503</v>
      </c>
      <c r="E135" s="3" t="s">
        <v>1997</v>
      </c>
      <c r="G135" t="s">
        <v>98</v>
      </c>
      <c r="H135" t="s">
        <v>153</v>
      </c>
      <c r="I135" t="s">
        <v>26</v>
      </c>
      <c r="J135" t="s">
        <v>99</v>
      </c>
      <c r="K135" t="s">
        <v>46</v>
      </c>
      <c r="L135" t="s">
        <v>28</v>
      </c>
      <c r="M135" t="s">
        <v>29</v>
      </c>
      <c r="N135" t="str">
        <f>+VLOOKUP(A135,[1]Buscador!$B:$E,4,0)</f>
        <v>Guayaquil</v>
      </c>
      <c r="O135" t="str">
        <f>+VLOOKUP(A135,[1]Buscador!$B:$F,5,0)</f>
        <v>Guayas</v>
      </c>
      <c r="P135" t="s">
        <v>153</v>
      </c>
      <c r="S135" t="s">
        <v>32</v>
      </c>
      <c r="T135" t="s">
        <v>33</v>
      </c>
      <c r="U135" t="s">
        <v>503</v>
      </c>
      <c r="V135" t="s">
        <v>153</v>
      </c>
      <c r="W135" t="s">
        <v>558</v>
      </c>
      <c r="X135" t="s">
        <v>559</v>
      </c>
      <c r="Y135" t="s">
        <v>560</v>
      </c>
      <c r="Z135" t="s">
        <v>561</v>
      </c>
      <c r="AA135">
        <v>-2.2025320000000002</v>
      </c>
      <c r="AB135">
        <v>-79.892351000000005</v>
      </c>
      <c r="AC135">
        <v>0</v>
      </c>
      <c r="AD135">
        <f>+VLOOKUP(L135,Evalua!$G$2:$H$12,2,0)</f>
        <v>1</v>
      </c>
      <c r="AE135">
        <f>+VLOOKUP(M135,Evalua!$G$2:$H$12,2,0)</f>
        <v>2</v>
      </c>
    </row>
    <row r="136" spans="1:31" hidden="1" x14ac:dyDescent="0.2">
      <c r="A136" s="1" t="s">
        <v>1725</v>
      </c>
      <c r="B136" t="s">
        <v>1726</v>
      </c>
      <c r="D136" t="s">
        <v>1996</v>
      </c>
      <c r="E136" t="s">
        <v>1993</v>
      </c>
      <c r="G136" t="s">
        <v>182</v>
      </c>
      <c r="H136" t="s">
        <v>153</v>
      </c>
      <c r="I136" t="s">
        <v>26</v>
      </c>
      <c r="J136" t="s">
        <v>2</v>
      </c>
      <c r="K136" t="s">
        <v>183</v>
      </c>
      <c r="L136" t="s">
        <v>28</v>
      </c>
      <c r="M136" t="s">
        <v>160</v>
      </c>
      <c r="N136" t="str">
        <f>+VLOOKUP(A136,[1]Buscador!$B:$E,4,0)</f>
        <v>Quevedo</v>
      </c>
      <c r="O136" t="str">
        <f>+VLOOKUP(A136,[1]Buscador!$B:$F,5,0)</f>
        <v>Los Ríos</v>
      </c>
      <c r="P136" t="s">
        <v>31</v>
      </c>
      <c r="S136" t="s">
        <v>162</v>
      </c>
      <c r="T136" t="s">
        <v>83</v>
      </c>
      <c r="U136" t="s">
        <v>184</v>
      </c>
      <c r="V136" t="s">
        <v>153</v>
      </c>
      <c r="X136" t="s">
        <v>1727</v>
      </c>
      <c r="Z136" t="s">
        <v>1947</v>
      </c>
      <c r="AA136">
        <v>-1.0240457901493001</v>
      </c>
      <c r="AB136">
        <v>-79.465783077013</v>
      </c>
      <c r="AC136">
        <v>0</v>
      </c>
      <c r="AD136">
        <f>+VLOOKUP(L136,Evalua!$G$2:$H$12,2,0)</f>
        <v>1</v>
      </c>
      <c r="AE136">
        <f>+VLOOKUP(M136,Evalua!$G$2:$H$12,2,0)</f>
        <v>1</v>
      </c>
    </row>
    <row r="137" spans="1:31" hidden="1" x14ac:dyDescent="0.2">
      <c r="A137" s="1" t="s">
        <v>1610</v>
      </c>
      <c r="B137" t="s">
        <v>1611</v>
      </c>
      <c r="D137" t="s">
        <v>2002</v>
      </c>
      <c r="E137" t="s">
        <v>2006</v>
      </c>
      <c r="G137" t="s">
        <v>1605</v>
      </c>
      <c r="H137" t="s">
        <v>153</v>
      </c>
      <c r="I137" t="s">
        <v>26</v>
      </c>
      <c r="J137" t="s">
        <v>2</v>
      </c>
      <c r="K137" t="s">
        <v>46</v>
      </c>
      <c r="L137" t="s">
        <v>28</v>
      </c>
      <c r="M137" t="s">
        <v>29</v>
      </c>
      <c r="N137" t="str">
        <f>+VLOOKUP(A137,[1]Buscador!$B:$E,4,0)</f>
        <v>Guayaquil</v>
      </c>
      <c r="O137" t="str">
        <f>+VLOOKUP(A137,[1]Buscador!$B:$F,5,0)</f>
        <v>Guayas</v>
      </c>
      <c r="P137" t="s">
        <v>31</v>
      </c>
      <c r="S137" t="s">
        <v>32</v>
      </c>
      <c r="T137" t="s">
        <v>33</v>
      </c>
      <c r="U137" t="s">
        <v>1355</v>
      </c>
      <c r="V137" t="s">
        <v>153</v>
      </c>
      <c r="X137" t="s">
        <v>1612</v>
      </c>
      <c r="Z137" t="s">
        <v>1930</v>
      </c>
      <c r="AA137">
        <v>-2.2291479999999999</v>
      </c>
      <c r="AB137">
        <v>-79.898456999999993</v>
      </c>
      <c r="AC137">
        <v>0</v>
      </c>
      <c r="AD137">
        <f>+VLOOKUP(L137,Evalua!$G$2:$H$12,2,0)</f>
        <v>1</v>
      </c>
      <c r="AE137">
        <f>+VLOOKUP(M137,Evalua!$G$2:$H$12,2,0)</f>
        <v>2</v>
      </c>
    </row>
    <row r="138" spans="1:31" hidden="1" x14ac:dyDescent="0.2">
      <c r="A138" s="1" t="s">
        <v>1834</v>
      </c>
      <c r="B138" t="s">
        <v>1835</v>
      </c>
      <c r="G138" t="s">
        <v>246</v>
      </c>
      <c r="H138" t="s">
        <v>153</v>
      </c>
      <c r="I138" t="s">
        <v>26</v>
      </c>
      <c r="J138" t="s">
        <v>2</v>
      </c>
      <c r="K138" t="s">
        <v>194</v>
      </c>
      <c r="L138" t="s">
        <v>28</v>
      </c>
      <c r="M138" t="s">
        <v>234</v>
      </c>
      <c r="N138" t="str">
        <f>+VLOOKUP(A138,[1]Buscador!$B:$E,4,0)</f>
        <v>Santo Domingo de los Tsachilas</v>
      </c>
      <c r="O138" t="str">
        <f>+VLOOKUP(A138,[1]Buscador!$B:$F,5,0)</f>
        <v>Santo Domingo de los Tsáchilas</v>
      </c>
      <c r="P138" t="s">
        <v>31</v>
      </c>
      <c r="S138" t="s">
        <v>729</v>
      </c>
      <c r="T138" t="s">
        <v>730</v>
      </c>
      <c r="U138" t="s">
        <v>195</v>
      </c>
      <c r="V138" t="s">
        <v>153</v>
      </c>
      <c r="X138" t="s">
        <v>1836</v>
      </c>
      <c r="Z138" t="s">
        <v>1961</v>
      </c>
      <c r="AA138">
        <v>-0.25177914970624998</v>
      </c>
      <c r="AB138">
        <v>-79.164858575815003</v>
      </c>
      <c r="AC138">
        <v>0</v>
      </c>
      <c r="AD138">
        <f>+VLOOKUP(L138,Evalua!$G$2:$H$12,2,0)</f>
        <v>1</v>
      </c>
      <c r="AE138">
        <f>+VLOOKUP(M138,Evalua!$G$2:$H$12,2,0)</f>
        <v>3</v>
      </c>
    </row>
    <row r="139" spans="1:31" hidden="1" x14ac:dyDescent="0.2">
      <c r="A139" s="1" t="s">
        <v>791</v>
      </c>
      <c r="B139" t="s">
        <v>736</v>
      </c>
      <c r="E139" s="3" t="s">
        <v>1997</v>
      </c>
      <c r="G139" t="s">
        <v>98</v>
      </c>
      <c r="H139" t="s">
        <v>153</v>
      </c>
      <c r="I139" t="s">
        <v>26</v>
      </c>
      <c r="J139" t="s">
        <v>99</v>
      </c>
      <c r="K139" t="s">
        <v>46</v>
      </c>
      <c r="L139" t="s">
        <v>28</v>
      </c>
      <c r="M139" t="s">
        <v>29</v>
      </c>
      <c r="N139" t="str">
        <f>+VLOOKUP(A139,[1]Buscador!$B:$E,4,0)</f>
        <v>La Aurora</v>
      </c>
      <c r="O139" t="str">
        <f>+VLOOKUP(A139,[1]Buscador!$B:$F,5,0)</f>
        <v>Guayas</v>
      </c>
      <c r="P139" t="s">
        <v>31</v>
      </c>
      <c r="S139" t="s">
        <v>32</v>
      </c>
      <c r="T139" t="s">
        <v>33</v>
      </c>
      <c r="U139" t="s">
        <v>736</v>
      </c>
      <c r="V139" t="s">
        <v>153</v>
      </c>
      <c r="W139" t="s">
        <v>792</v>
      </c>
      <c r="X139" t="s">
        <v>793</v>
      </c>
      <c r="Y139" t="s">
        <v>794</v>
      </c>
      <c r="Z139" t="s">
        <v>795</v>
      </c>
      <c r="AA139">
        <v>-2.0280668337000001</v>
      </c>
      <c r="AB139">
        <v>-79.912529347200007</v>
      </c>
      <c r="AC139">
        <v>0</v>
      </c>
      <c r="AD139">
        <f>+VLOOKUP(L139,Evalua!$G$2:$H$12,2,0)</f>
        <v>1</v>
      </c>
      <c r="AE139">
        <f>+VLOOKUP(M139,Evalua!$G$2:$H$12,2,0)</f>
        <v>2</v>
      </c>
    </row>
    <row r="140" spans="1:31" hidden="1" x14ac:dyDescent="0.2">
      <c r="A140" s="1" t="s">
        <v>1772</v>
      </c>
      <c r="B140" t="s">
        <v>1773</v>
      </c>
      <c r="G140" t="s">
        <v>1774</v>
      </c>
      <c r="H140" t="s">
        <v>153</v>
      </c>
      <c r="I140" t="s">
        <v>26</v>
      </c>
      <c r="J140" t="s">
        <v>2</v>
      </c>
      <c r="K140" t="s">
        <v>27</v>
      </c>
      <c r="L140" t="s">
        <v>28</v>
      </c>
      <c r="M140" t="s">
        <v>29</v>
      </c>
      <c r="N140" t="str">
        <f>+VLOOKUP(A140,[1]Buscador!$B:$E,4,0)</f>
        <v>Quito</v>
      </c>
      <c r="O140" t="str">
        <f>+VLOOKUP(A140,[1]Buscador!$B:$F,5,0)</f>
        <v>Pichincha</v>
      </c>
      <c r="P140" t="s">
        <v>31</v>
      </c>
      <c r="S140" t="s">
        <v>32</v>
      </c>
      <c r="T140" t="s">
        <v>33</v>
      </c>
      <c r="U140" t="s">
        <v>1486</v>
      </c>
      <c r="V140" t="s">
        <v>153</v>
      </c>
      <c r="X140" t="s">
        <v>1775</v>
      </c>
      <c r="Z140" t="s">
        <v>1954</v>
      </c>
      <c r="AA140">
        <v>-0.16759569524283</v>
      </c>
      <c r="AB140">
        <v>-78.489494004353006</v>
      </c>
      <c r="AC140">
        <v>0</v>
      </c>
      <c r="AD140">
        <f>+VLOOKUP(L140,Evalua!$G$2:$H$12,2,0)</f>
        <v>1</v>
      </c>
      <c r="AE140">
        <f>+VLOOKUP(M140,Evalua!$G$2:$H$12,2,0)</f>
        <v>2</v>
      </c>
    </row>
    <row r="141" spans="1:31" hidden="1" x14ac:dyDescent="0.2">
      <c r="A141" s="1" t="s">
        <v>1615</v>
      </c>
      <c r="B141" t="s">
        <v>1616</v>
      </c>
      <c r="D141" t="s">
        <v>2002</v>
      </c>
      <c r="E141" t="s">
        <v>2010</v>
      </c>
      <c r="G141" t="s">
        <v>1617</v>
      </c>
      <c r="H141" t="s">
        <v>153</v>
      </c>
      <c r="I141" t="s">
        <v>26</v>
      </c>
      <c r="J141" t="s">
        <v>2</v>
      </c>
      <c r="K141" t="s">
        <v>46</v>
      </c>
      <c r="L141" t="s">
        <v>28</v>
      </c>
      <c r="M141" t="s">
        <v>29</v>
      </c>
      <c r="N141" t="str">
        <f>+VLOOKUP(A141,[1]Buscador!$B:$E,4,0)</f>
        <v>Guayaquil</v>
      </c>
      <c r="O141" t="str">
        <f>+VLOOKUP(A141,[1]Buscador!$B:$F,5,0)</f>
        <v>Guayas</v>
      </c>
      <c r="P141" t="s">
        <v>31</v>
      </c>
      <c r="S141" t="s">
        <v>32</v>
      </c>
      <c r="T141" t="s">
        <v>33</v>
      </c>
      <c r="U141" t="s">
        <v>1360</v>
      </c>
      <c r="V141" t="s">
        <v>153</v>
      </c>
      <c r="X141" t="s">
        <v>1618</v>
      </c>
      <c r="Z141" t="s">
        <v>1931</v>
      </c>
      <c r="AA141">
        <v>-2.1093123468677999</v>
      </c>
      <c r="AB141">
        <v>-79.948822486490997</v>
      </c>
      <c r="AC141">
        <v>0</v>
      </c>
      <c r="AD141">
        <f>+VLOOKUP(L141,Evalua!$G$2:$H$12,2,0)</f>
        <v>1</v>
      </c>
      <c r="AE141">
        <f>+VLOOKUP(M141,Evalua!$G$2:$H$12,2,0)</f>
        <v>2</v>
      </c>
    </row>
    <row r="142" spans="1:31" hidden="1" x14ac:dyDescent="0.2">
      <c r="A142" s="1" t="s">
        <v>1408</v>
      </c>
      <c r="B142" t="s">
        <v>1409</v>
      </c>
      <c r="D142" t="s">
        <v>1996</v>
      </c>
      <c r="E142" t="s">
        <v>1999</v>
      </c>
      <c r="G142" t="s">
        <v>1403</v>
      </c>
      <c r="H142" t="s">
        <v>153</v>
      </c>
      <c r="I142" t="s">
        <v>26</v>
      </c>
      <c r="J142" t="s">
        <v>2</v>
      </c>
      <c r="K142" t="s">
        <v>194</v>
      </c>
      <c r="L142" t="s">
        <v>28</v>
      </c>
      <c r="M142" t="s">
        <v>234</v>
      </c>
      <c r="N142" t="str">
        <f>+VLOOKUP(A142,[1]Buscador!$B:$E,4,0)</f>
        <v>El Carmen</v>
      </c>
      <c r="O142" t="str">
        <f>+VLOOKUP(A142,[1]Buscador!$B:$F,5,0)</f>
        <v>Manabí</v>
      </c>
      <c r="P142" t="s">
        <v>31</v>
      </c>
      <c r="S142" t="s">
        <v>729</v>
      </c>
      <c r="T142" t="s">
        <v>730</v>
      </c>
      <c r="U142" t="s">
        <v>1245</v>
      </c>
      <c r="V142" t="s">
        <v>153</v>
      </c>
      <c r="W142" t="s">
        <v>1410</v>
      </c>
      <c r="X142" t="s">
        <v>1411</v>
      </c>
      <c r="Y142" t="s">
        <v>1412</v>
      </c>
      <c r="Z142" t="s">
        <v>1407</v>
      </c>
      <c r="AA142">
        <v>-0.27234110220000002</v>
      </c>
      <c r="AB142">
        <v>-79.462855468200004</v>
      </c>
      <c r="AC142">
        <v>0</v>
      </c>
      <c r="AD142">
        <f>+VLOOKUP(L142,Evalua!$G$2:$H$12,2,0)</f>
        <v>1</v>
      </c>
      <c r="AE142">
        <f>+VLOOKUP(M142,Evalua!$G$2:$H$12,2,0)</f>
        <v>3</v>
      </c>
    </row>
    <row r="143" spans="1:31" hidden="1" x14ac:dyDescent="0.2">
      <c r="A143" s="1" t="s">
        <v>1848</v>
      </c>
      <c r="B143" t="s">
        <v>1849</v>
      </c>
      <c r="D143" t="s">
        <v>1996</v>
      </c>
      <c r="E143" t="s">
        <v>1997</v>
      </c>
      <c r="G143" t="s">
        <v>58</v>
      </c>
      <c r="H143" t="s">
        <v>153</v>
      </c>
      <c r="I143" t="s">
        <v>26</v>
      </c>
      <c r="J143" t="s">
        <v>2</v>
      </c>
      <c r="K143" t="s">
        <v>46</v>
      </c>
      <c r="L143" t="s">
        <v>28</v>
      </c>
      <c r="M143" t="s">
        <v>29</v>
      </c>
      <c r="N143" t="str">
        <f>+VLOOKUP(A143,[1]Buscador!$B:$E,4,0)</f>
        <v>Guayaquil</v>
      </c>
      <c r="O143" t="str">
        <f>+VLOOKUP(A143,[1]Buscador!$B:$F,5,0)</f>
        <v>Guayas</v>
      </c>
      <c r="P143" t="s">
        <v>31</v>
      </c>
      <c r="S143" t="s">
        <v>32</v>
      </c>
      <c r="T143" t="s">
        <v>33</v>
      </c>
      <c r="U143" t="s">
        <v>1538</v>
      </c>
      <c r="V143" t="s">
        <v>153</v>
      </c>
      <c r="X143" t="s">
        <v>1850</v>
      </c>
      <c r="Z143" t="s">
        <v>1962</v>
      </c>
      <c r="AA143">
        <v>-2.1426674740639</v>
      </c>
      <c r="AB143">
        <v>-79.879234608459001</v>
      </c>
      <c r="AC143">
        <v>0</v>
      </c>
      <c r="AD143">
        <f>+VLOOKUP(L143,Evalua!$G$2:$H$12,2,0)</f>
        <v>1</v>
      </c>
      <c r="AE143">
        <f>+VLOOKUP(M143,Evalua!$G$2:$H$12,2,0)</f>
        <v>2</v>
      </c>
    </row>
    <row r="144" spans="1:31" hidden="1" x14ac:dyDescent="0.2">
      <c r="A144" s="1" t="s">
        <v>1527</v>
      </c>
      <c r="B144" t="s">
        <v>1528</v>
      </c>
      <c r="G144" t="s">
        <v>1523</v>
      </c>
      <c r="H144" t="s">
        <v>153</v>
      </c>
      <c r="I144" t="s">
        <v>26</v>
      </c>
      <c r="J144" t="s">
        <v>2</v>
      </c>
      <c r="K144" t="s">
        <v>46</v>
      </c>
      <c r="L144" t="s">
        <v>28</v>
      </c>
      <c r="M144" t="s">
        <v>29</v>
      </c>
      <c r="N144" t="str">
        <f>+VLOOKUP(A144,[1]Buscador!$B:$E,4,0)</f>
        <v>La Troncal</v>
      </c>
      <c r="O144" t="str">
        <f>+VLOOKUP(A144,[1]Buscador!$B:$F,5,0)</f>
        <v>Cañar</v>
      </c>
      <c r="P144" t="s">
        <v>31</v>
      </c>
      <c r="S144" t="s">
        <v>32</v>
      </c>
      <c r="T144" t="s">
        <v>33</v>
      </c>
      <c r="U144" t="s">
        <v>1300</v>
      </c>
      <c r="V144" t="s">
        <v>153</v>
      </c>
      <c r="W144" t="s">
        <v>1529</v>
      </c>
      <c r="X144" t="s">
        <v>1530</v>
      </c>
      <c r="Y144" t="s">
        <v>1531</v>
      </c>
      <c r="Z144" t="s">
        <v>1526</v>
      </c>
      <c r="AA144">
        <v>-2.4231470859000002</v>
      </c>
      <c r="AB144">
        <v>-79.343161461999998</v>
      </c>
      <c r="AC144">
        <v>0</v>
      </c>
      <c r="AD144">
        <f>+VLOOKUP(L144,Evalua!$G$2:$H$12,2,0)</f>
        <v>1</v>
      </c>
      <c r="AE144">
        <f>+VLOOKUP(M144,Evalua!$G$2:$H$12,2,0)</f>
        <v>2</v>
      </c>
    </row>
    <row r="145" spans="1:31" hidden="1" x14ac:dyDescent="0.2">
      <c r="A145" s="1" t="s">
        <v>598</v>
      </c>
      <c r="B145" t="s">
        <v>543</v>
      </c>
      <c r="D145" t="s">
        <v>1990</v>
      </c>
      <c r="E145" t="s">
        <v>1991</v>
      </c>
      <c r="G145" t="s">
        <v>98</v>
      </c>
      <c r="H145" t="s">
        <v>153</v>
      </c>
      <c r="I145" t="s">
        <v>26</v>
      </c>
      <c r="J145" t="s">
        <v>99</v>
      </c>
      <c r="K145" t="s">
        <v>46</v>
      </c>
      <c r="L145" t="s">
        <v>28</v>
      </c>
      <c r="M145" t="s">
        <v>29</v>
      </c>
      <c r="N145" t="str">
        <f>+VLOOKUP(A145,[1]Buscador!$B:$E,4,0)</f>
        <v>Ballenita</v>
      </c>
      <c r="O145" t="str">
        <f>+VLOOKUP(A145,[1]Buscador!$B:$F,5,0)</f>
        <v>Santa Elena</v>
      </c>
      <c r="P145" t="s">
        <v>31</v>
      </c>
      <c r="S145" t="s">
        <v>32</v>
      </c>
      <c r="T145" t="s">
        <v>33</v>
      </c>
      <c r="U145" t="s">
        <v>543</v>
      </c>
      <c r="V145" t="s">
        <v>153</v>
      </c>
      <c r="W145" t="s">
        <v>599</v>
      </c>
      <c r="X145" t="s">
        <v>600</v>
      </c>
      <c r="Y145" t="s">
        <v>601</v>
      </c>
      <c r="Z145" t="s">
        <v>602</v>
      </c>
      <c r="AA145">
        <v>-2.2113564751000001</v>
      </c>
      <c r="AB145">
        <v>-80.868662071399996</v>
      </c>
      <c r="AC145">
        <v>0</v>
      </c>
      <c r="AD145">
        <f>+VLOOKUP(L145,Evalua!$G$2:$H$12,2,0)</f>
        <v>1</v>
      </c>
      <c r="AE145">
        <f>+VLOOKUP(M145,Evalua!$G$2:$H$12,2,0)</f>
        <v>2</v>
      </c>
    </row>
    <row r="146" spans="1:31" hidden="1" x14ac:dyDescent="0.2">
      <c r="A146" s="1" t="s">
        <v>1060</v>
      </c>
      <c r="B146" t="s">
        <v>1006</v>
      </c>
      <c r="D146" t="s">
        <v>2014</v>
      </c>
      <c r="E146" s="3" t="s">
        <v>2006</v>
      </c>
      <c r="G146" t="s">
        <v>98</v>
      </c>
      <c r="H146" t="s">
        <v>153</v>
      </c>
      <c r="I146" t="s">
        <v>26</v>
      </c>
      <c r="J146" t="s">
        <v>99</v>
      </c>
      <c r="K146" t="s">
        <v>46</v>
      </c>
      <c r="L146" t="s">
        <v>28</v>
      </c>
      <c r="M146" t="s">
        <v>29</v>
      </c>
      <c r="N146" t="str">
        <f>+VLOOKUP(A146,[1]Buscador!$B:$E,4,0)</f>
        <v>Guayaquil</v>
      </c>
      <c r="O146" t="str">
        <f>+VLOOKUP(A146,[1]Buscador!$B:$F,5,0)</f>
        <v>Guayas</v>
      </c>
      <c r="P146" t="s">
        <v>153</v>
      </c>
      <c r="S146" t="s">
        <v>32</v>
      </c>
      <c r="T146" t="s">
        <v>33</v>
      </c>
      <c r="U146" t="s">
        <v>1006</v>
      </c>
      <c r="V146" t="s">
        <v>153</v>
      </c>
      <c r="W146" t="s">
        <v>1061</v>
      </c>
      <c r="X146" t="s">
        <v>1062</v>
      </c>
      <c r="Y146" t="s">
        <v>1063</v>
      </c>
      <c r="Z146" t="s">
        <v>1064</v>
      </c>
      <c r="AA146">
        <v>-2.2610079999999999</v>
      </c>
      <c r="AB146">
        <v>-79.878241000000003</v>
      </c>
      <c r="AC146">
        <v>0</v>
      </c>
      <c r="AD146">
        <f>+VLOOKUP(L146,Evalua!$G$2:$H$12,2,0)</f>
        <v>1</v>
      </c>
      <c r="AE146">
        <f>+VLOOKUP(M146,Evalua!$G$2:$H$12,2,0)</f>
        <v>2</v>
      </c>
    </row>
    <row r="147" spans="1:31" hidden="1" x14ac:dyDescent="0.2">
      <c r="A147" s="1" t="s">
        <v>728</v>
      </c>
      <c r="B147" t="s">
        <v>675</v>
      </c>
      <c r="G147" t="s">
        <v>98</v>
      </c>
      <c r="H147" t="s">
        <v>153</v>
      </c>
      <c r="I147" t="s">
        <v>26</v>
      </c>
      <c r="J147" t="s">
        <v>99</v>
      </c>
      <c r="K147" t="s">
        <v>194</v>
      </c>
      <c r="L147" t="s">
        <v>28</v>
      </c>
      <c r="M147" t="s">
        <v>234</v>
      </c>
      <c r="N147" t="str">
        <f>+VLOOKUP(A147,[1]Buscador!$B:$E,4,0)</f>
        <v>Santo Domingo de los Tsachilas</v>
      </c>
      <c r="O147" t="str">
        <f>+VLOOKUP(A147,[1]Buscador!$B:$F,5,0)</f>
        <v>Santo Domingo de los Tsáchilas</v>
      </c>
      <c r="P147" t="s">
        <v>31</v>
      </c>
      <c r="S147" t="s">
        <v>729</v>
      </c>
      <c r="T147" t="s">
        <v>730</v>
      </c>
      <c r="U147" t="s">
        <v>675</v>
      </c>
      <c r="V147" t="s">
        <v>153</v>
      </c>
      <c r="W147" t="s">
        <v>731</v>
      </c>
      <c r="X147" t="s">
        <v>732</v>
      </c>
      <c r="Y147" t="s">
        <v>733</v>
      </c>
      <c r="Z147" t="s">
        <v>734</v>
      </c>
      <c r="AA147">
        <v>-0.2489012065</v>
      </c>
      <c r="AB147">
        <v>-79.162049904200003</v>
      </c>
      <c r="AC147">
        <v>0</v>
      </c>
      <c r="AD147">
        <f>+VLOOKUP(L147,Evalua!$G$2:$H$12,2,0)</f>
        <v>1</v>
      </c>
      <c r="AE147">
        <f>+VLOOKUP(M147,Evalua!$G$2:$H$12,2,0)</f>
        <v>3</v>
      </c>
    </row>
    <row r="148" spans="1:31" hidden="1" x14ac:dyDescent="0.2">
      <c r="A148" s="1" t="s">
        <v>718</v>
      </c>
      <c r="B148" t="s">
        <v>664</v>
      </c>
      <c r="D148" t="s">
        <v>1994</v>
      </c>
      <c r="E148" t="s">
        <v>1998</v>
      </c>
      <c r="G148" t="s">
        <v>98</v>
      </c>
      <c r="H148" t="s">
        <v>1970</v>
      </c>
      <c r="I148" t="s">
        <v>26</v>
      </c>
      <c r="J148" t="s">
        <v>99</v>
      </c>
      <c r="K148" t="s">
        <v>183</v>
      </c>
      <c r="L148" t="s">
        <v>123</v>
      </c>
      <c r="M148" t="s">
        <v>29</v>
      </c>
      <c r="N148" t="str">
        <f>+VLOOKUP(A148,[1]Buscador!$B:$E,4,0)</f>
        <v>Babahoyo</v>
      </c>
      <c r="O148" t="str">
        <f>+VLOOKUP(A148,[1]Buscador!$B:$F,5,0)</f>
        <v>Los Ríos</v>
      </c>
      <c r="P148" t="s">
        <v>31</v>
      </c>
      <c r="S148" t="s">
        <v>125</v>
      </c>
      <c r="T148" t="s">
        <v>126</v>
      </c>
      <c r="U148" t="s">
        <v>664</v>
      </c>
      <c r="V148" t="s">
        <v>153</v>
      </c>
      <c r="W148" t="s">
        <v>719</v>
      </c>
      <c r="X148" t="s">
        <v>720</v>
      </c>
      <c r="Y148" t="s">
        <v>721</v>
      </c>
      <c r="Z148" t="s">
        <v>722</v>
      </c>
      <c r="AA148">
        <v>-1.8131077554999999</v>
      </c>
      <c r="AB148">
        <v>-79.545317172500006</v>
      </c>
      <c r="AC148">
        <v>0</v>
      </c>
      <c r="AD148">
        <f>+VLOOKUP(L148,Evalua!$G$2:$H$12,2,0)</f>
        <v>4</v>
      </c>
      <c r="AE148">
        <f>+VLOOKUP(M148,Evalua!$G$2:$H$12,2,0)</f>
        <v>2</v>
      </c>
    </row>
    <row r="149" spans="1:31" hidden="1" x14ac:dyDescent="0.2">
      <c r="A149" s="1" t="s">
        <v>1137</v>
      </c>
      <c r="B149" t="s">
        <v>1082</v>
      </c>
      <c r="D149" t="s">
        <v>1996</v>
      </c>
      <c r="E149" t="s">
        <v>2000</v>
      </c>
      <c r="G149" t="s">
        <v>98</v>
      </c>
      <c r="H149" t="s">
        <v>153</v>
      </c>
      <c r="I149" t="s">
        <v>26</v>
      </c>
      <c r="J149" t="s">
        <v>99</v>
      </c>
      <c r="K149" t="s">
        <v>46</v>
      </c>
      <c r="L149" t="s">
        <v>28</v>
      </c>
      <c r="M149" t="s">
        <v>29</v>
      </c>
      <c r="N149" t="str">
        <f>+VLOOKUP(A149,[1]Buscador!$B:$E,4,0)</f>
        <v>Posorja</v>
      </c>
      <c r="O149" t="str">
        <f>+VLOOKUP(A149,[1]Buscador!$B:$F,5,0)</f>
        <v>Guayas</v>
      </c>
      <c r="P149" t="s">
        <v>31</v>
      </c>
      <c r="S149" t="s">
        <v>32</v>
      </c>
      <c r="T149" t="s">
        <v>33</v>
      </c>
      <c r="U149" t="s">
        <v>1082</v>
      </c>
      <c r="V149" t="s">
        <v>153</v>
      </c>
      <c r="W149" t="s">
        <v>1138</v>
      </c>
      <c r="X149" t="s">
        <v>1139</v>
      </c>
      <c r="Y149" t="s">
        <v>1140</v>
      </c>
      <c r="Z149" t="s">
        <v>1141</v>
      </c>
      <c r="AA149">
        <v>-2.7103348371</v>
      </c>
      <c r="AB149">
        <v>-80.245090981000004</v>
      </c>
      <c r="AC149">
        <v>0</v>
      </c>
      <c r="AD149">
        <f>+VLOOKUP(L149,Evalua!$G$2:$H$12,2,0)</f>
        <v>1</v>
      </c>
      <c r="AE149">
        <f>+VLOOKUP(M149,Evalua!$G$2:$H$12,2,0)</f>
        <v>2</v>
      </c>
    </row>
    <row r="150" spans="1:31" hidden="1" x14ac:dyDescent="0.2">
      <c r="A150" s="1" t="s">
        <v>463</v>
      </c>
      <c r="B150" t="s">
        <v>407</v>
      </c>
      <c r="E150" s="3" t="s">
        <v>2000</v>
      </c>
      <c r="G150" t="s">
        <v>98</v>
      </c>
      <c r="H150" t="s">
        <v>153</v>
      </c>
      <c r="I150" t="s">
        <v>26</v>
      </c>
      <c r="J150" t="s">
        <v>99</v>
      </c>
      <c r="K150" t="s">
        <v>46</v>
      </c>
      <c r="L150" t="s">
        <v>28</v>
      </c>
      <c r="M150" t="s">
        <v>29</v>
      </c>
      <c r="N150" t="str">
        <f>+VLOOKUP(A150,[1]Buscador!$B:$E,4,0)</f>
        <v>Guayaquil</v>
      </c>
      <c r="O150" t="str">
        <f>+VLOOKUP(A150,[1]Buscador!$B:$F,5,0)</f>
        <v>Guayas</v>
      </c>
      <c r="P150" t="s">
        <v>153</v>
      </c>
      <c r="S150" t="s">
        <v>32</v>
      </c>
      <c r="T150" t="s">
        <v>33</v>
      </c>
      <c r="U150" t="s">
        <v>407</v>
      </c>
      <c r="V150" t="s">
        <v>153</v>
      </c>
      <c r="W150" t="s">
        <v>464</v>
      </c>
      <c r="X150" t="s">
        <v>465</v>
      </c>
      <c r="Y150" t="s">
        <v>466</v>
      </c>
      <c r="Z150" t="s">
        <v>462</v>
      </c>
      <c r="AA150">
        <v>-2.1288149999999999</v>
      </c>
      <c r="AB150">
        <v>-79.936049999999994</v>
      </c>
      <c r="AC150">
        <v>0</v>
      </c>
      <c r="AD150">
        <f>+VLOOKUP(L150,Evalua!$G$2:$H$12,2,0)</f>
        <v>1</v>
      </c>
      <c r="AE150">
        <f>+VLOOKUP(M150,Evalua!$G$2:$H$12,2,0)</f>
        <v>2</v>
      </c>
    </row>
    <row r="151" spans="1:31" hidden="1" x14ac:dyDescent="0.2">
      <c r="A151" s="1" t="s">
        <v>251</v>
      </c>
      <c r="B151" t="s">
        <v>190</v>
      </c>
      <c r="E151" s="3" t="s">
        <v>1998</v>
      </c>
      <c r="G151" t="s">
        <v>98</v>
      </c>
      <c r="H151" t="s">
        <v>153</v>
      </c>
      <c r="I151" t="s">
        <v>26</v>
      </c>
      <c r="J151" t="s">
        <v>99</v>
      </c>
      <c r="K151" t="s">
        <v>46</v>
      </c>
      <c r="L151" t="s">
        <v>81</v>
      </c>
      <c r="M151" t="s">
        <v>234</v>
      </c>
      <c r="N151" t="str">
        <f>+VLOOKUP(A151,[1]Buscador!$B:$E,4,0)</f>
        <v>Guayaquil</v>
      </c>
      <c r="O151" t="str">
        <f>+VLOOKUP(A151,[1]Buscador!$B:$F,5,0)</f>
        <v>Guayas</v>
      </c>
      <c r="P151" t="s">
        <v>31</v>
      </c>
      <c r="S151" t="s">
        <v>235</v>
      </c>
      <c r="T151" t="s">
        <v>33</v>
      </c>
      <c r="U151" t="s">
        <v>190</v>
      </c>
      <c r="V151" t="s">
        <v>153</v>
      </c>
      <c r="W151" t="s">
        <v>252</v>
      </c>
      <c r="X151" t="s">
        <v>253</v>
      </c>
      <c r="Y151" t="s">
        <v>254</v>
      </c>
      <c r="Z151" t="s">
        <v>204</v>
      </c>
      <c r="AA151">
        <v>-2.1105330000000002</v>
      </c>
      <c r="AB151">
        <v>-79.937646000000001</v>
      </c>
      <c r="AC151">
        <v>0</v>
      </c>
      <c r="AD151">
        <f>+VLOOKUP(L151,Evalua!$G$2:$H$12,2,0)</f>
        <v>3</v>
      </c>
      <c r="AE151">
        <f>+VLOOKUP(M151,Evalua!$G$2:$H$12,2,0)</f>
        <v>3</v>
      </c>
    </row>
    <row r="152" spans="1:31" hidden="1" x14ac:dyDescent="0.2">
      <c r="A152" s="1" t="s">
        <v>240</v>
      </c>
      <c r="B152" t="s">
        <v>177</v>
      </c>
      <c r="G152" t="s">
        <v>98</v>
      </c>
      <c r="H152" t="s">
        <v>153</v>
      </c>
      <c r="I152" t="s">
        <v>26</v>
      </c>
      <c r="J152" t="s">
        <v>99</v>
      </c>
      <c r="K152" t="s">
        <v>27</v>
      </c>
      <c r="L152" t="s">
        <v>28</v>
      </c>
      <c r="M152" t="s">
        <v>29</v>
      </c>
      <c r="N152" t="str">
        <f>+VLOOKUP(A152,[1]Buscador!$B:$E,4,0)</f>
        <v>Carapungo</v>
      </c>
      <c r="O152" t="str">
        <f>+VLOOKUP(A152,[1]Buscador!$B:$F,5,0)</f>
        <v>Pichincha</v>
      </c>
      <c r="P152" t="s">
        <v>31</v>
      </c>
      <c r="S152" t="s">
        <v>32</v>
      </c>
      <c r="T152" t="s">
        <v>33</v>
      </c>
      <c r="U152" t="s">
        <v>177</v>
      </c>
      <c r="V152" t="s">
        <v>153</v>
      </c>
      <c r="W152" t="s">
        <v>241</v>
      </c>
      <c r="X152" t="s">
        <v>242</v>
      </c>
      <c r="Y152" t="s">
        <v>243</v>
      </c>
      <c r="Z152" t="s">
        <v>244</v>
      </c>
      <c r="AA152">
        <v>-0.108239</v>
      </c>
      <c r="AB152">
        <v>-78.446055000000001</v>
      </c>
      <c r="AC152">
        <v>0</v>
      </c>
      <c r="AD152">
        <f>+VLOOKUP(L152,Evalua!$G$2:$H$12,2,0)</f>
        <v>1</v>
      </c>
      <c r="AE152">
        <f>+VLOOKUP(M152,Evalua!$G$2:$H$12,2,0)</f>
        <v>2</v>
      </c>
    </row>
    <row r="153" spans="1:31" hidden="1" x14ac:dyDescent="0.2">
      <c r="A153" s="1" t="s">
        <v>245</v>
      </c>
      <c r="B153" t="s">
        <v>185</v>
      </c>
      <c r="G153" t="s">
        <v>246</v>
      </c>
      <c r="H153" t="s">
        <v>153</v>
      </c>
      <c r="I153" t="s">
        <v>26</v>
      </c>
      <c r="J153" t="s">
        <v>99</v>
      </c>
      <c r="K153" t="s">
        <v>194</v>
      </c>
      <c r="L153" t="s">
        <v>28</v>
      </c>
      <c r="M153" t="s">
        <v>160</v>
      </c>
      <c r="N153" t="str">
        <f>+VLOOKUP(A153,[1]Buscador!$B:$E,4,0)</f>
        <v>Santo Domingo de los Tsachilas</v>
      </c>
      <c r="O153" t="str">
        <f>+VLOOKUP(A153,[1]Buscador!$B:$F,5,0)</f>
        <v>Santo Domingo de los Tsáchilas</v>
      </c>
      <c r="P153" t="s">
        <v>31</v>
      </c>
      <c r="S153" t="s">
        <v>162</v>
      </c>
      <c r="T153" t="s">
        <v>83</v>
      </c>
      <c r="U153" t="s">
        <v>185</v>
      </c>
      <c r="V153" t="s">
        <v>153</v>
      </c>
      <c r="W153" t="s">
        <v>247</v>
      </c>
      <c r="X153" t="s">
        <v>248</v>
      </c>
      <c r="Y153" t="s">
        <v>249</v>
      </c>
      <c r="Z153" t="s">
        <v>250</v>
      </c>
      <c r="AA153">
        <v>-0.25714475260000003</v>
      </c>
      <c r="AB153">
        <v>-79.203967335900003</v>
      </c>
      <c r="AC153">
        <v>0</v>
      </c>
      <c r="AD153">
        <f>+VLOOKUP(L153,Evalua!$G$2:$H$12,2,0)</f>
        <v>1</v>
      </c>
      <c r="AE153">
        <f>+VLOOKUP(M153,Evalua!$G$2:$H$12,2,0)</f>
        <v>1</v>
      </c>
    </row>
    <row r="154" spans="1:31" hidden="1" x14ac:dyDescent="0.2">
      <c r="A154" s="1" t="s">
        <v>233</v>
      </c>
      <c r="B154" t="s">
        <v>172</v>
      </c>
      <c r="E154" s="3" t="s">
        <v>1998</v>
      </c>
      <c r="G154" t="s">
        <v>98</v>
      </c>
      <c r="H154" t="s">
        <v>153</v>
      </c>
      <c r="I154" t="s">
        <v>26</v>
      </c>
      <c r="J154" t="s">
        <v>99</v>
      </c>
      <c r="K154" t="s">
        <v>46</v>
      </c>
      <c r="L154" t="s">
        <v>81</v>
      </c>
      <c r="M154" t="s">
        <v>234</v>
      </c>
      <c r="N154" t="str">
        <f>+VLOOKUP(A154,[1]Buscador!$B:$E,4,0)</f>
        <v>Guayaquil</v>
      </c>
      <c r="O154" t="str">
        <f>+VLOOKUP(A154,[1]Buscador!$B:$F,5,0)</f>
        <v>Guayas</v>
      </c>
      <c r="P154" t="s">
        <v>31</v>
      </c>
      <c r="S154" t="s">
        <v>235</v>
      </c>
      <c r="T154" t="s">
        <v>33</v>
      </c>
      <c r="U154" t="s">
        <v>172</v>
      </c>
      <c r="V154" t="s">
        <v>153</v>
      </c>
      <c r="W154" t="s">
        <v>236</v>
      </c>
      <c r="X154" t="s">
        <v>237</v>
      </c>
      <c r="Y154" t="s">
        <v>238</v>
      </c>
      <c r="Z154" t="s">
        <v>239</v>
      </c>
      <c r="AA154">
        <v>-2.1429930000000001</v>
      </c>
      <c r="AB154">
        <v>-79.916595000000001</v>
      </c>
      <c r="AC154">
        <v>0</v>
      </c>
      <c r="AD154">
        <f>+VLOOKUP(L154,Evalua!$G$2:$H$12,2,0)</f>
        <v>3</v>
      </c>
      <c r="AE154">
        <f>+VLOOKUP(M154,Evalua!$G$2:$H$12,2,0)</f>
        <v>3</v>
      </c>
    </row>
    <row r="155" spans="1:31" hidden="1" x14ac:dyDescent="0.2">
      <c r="A155" s="1" t="s">
        <v>228</v>
      </c>
      <c r="B155" t="s">
        <v>163</v>
      </c>
      <c r="G155" t="s">
        <v>98</v>
      </c>
      <c r="H155" t="s">
        <v>153</v>
      </c>
      <c r="I155" t="s">
        <v>26</v>
      </c>
      <c r="J155" t="s">
        <v>99</v>
      </c>
      <c r="K155" t="s">
        <v>27</v>
      </c>
      <c r="L155" t="s">
        <v>28</v>
      </c>
      <c r="M155" t="s">
        <v>29</v>
      </c>
      <c r="N155" t="str">
        <f>+VLOOKUP(A155,[1]Buscador!$B:$E,4,0)</f>
        <v>Quito</v>
      </c>
      <c r="O155" t="str">
        <f>+VLOOKUP(A155,[1]Buscador!$B:$F,5,0)</f>
        <v>Pichincha</v>
      </c>
      <c r="P155" t="s">
        <v>31</v>
      </c>
      <c r="S155" t="s">
        <v>32</v>
      </c>
      <c r="T155" t="s">
        <v>33</v>
      </c>
      <c r="U155" t="s">
        <v>163</v>
      </c>
      <c r="V155" t="s">
        <v>153</v>
      </c>
      <c r="W155" t="s">
        <v>229</v>
      </c>
      <c r="X155" t="s">
        <v>230</v>
      </c>
      <c r="Y155" t="s">
        <v>231</v>
      </c>
      <c r="Z155" t="s">
        <v>232</v>
      </c>
      <c r="AA155">
        <v>-0.15343833909999999</v>
      </c>
      <c r="AB155">
        <v>-78.478335088999998</v>
      </c>
      <c r="AC155">
        <v>0</v>
      </c>
      <c r="AD155">
        <f>+VLOOKUP(L155,Evalua!$G$2:$H$12,2,0)</f>
        <v>1</v>
      </c>
      <c r="AE155">
        <f>+VLOOKUP(M155,Evalua!$G$2:$H$12,2,0)</f>
        <v>2</v>
      </c>
    </row>
    <row r="156" spans="1:31" hidden="1" x14ac:dyDescent="0.2">
      <c r="A156" s="1" t="s">
        <v>97</v>
      </c>
      <c r="B156" t="s">
        <v>65</v>
      </c>
      <c r="E156" s="3" t="s">
        <v>1997</v>
      </c>
      <c r="G156" t="s">
        <v>98</v>
      </c>
      <c r="H156" t="s">
        <v>153</v>
      </c>
      <c r="I156" t="s">
        <v>26</v>
      </c>
      <c r="J156" t="s">
        <v>99</v>
      </c>
      <c r="K156" t="s">
        <v>46</v>
      </c>
      <c r="L156" t="s">
        <v>28</v>
      </c>
      <c r="M156" t="s">
        <v>29</v>
      </c>
      <c r="N156" t="str">
        <f>+VLOOKUP(A156,[1]Buscador!$B:$E,4,0)</f>
        <v>Guayaquil</v>
      </c>
      <c r="O156" t="str">
        <f>+VLOOKUP(A156,[1]Buscador!$B:$F,5,0)</f>
        <v>Guayas</v>
      </c>
      <c r="P156" t="s">
        <v>31</v>
      </c>
      <c r="S156" t="s">
        <v>32</v>
      </c>
      <c r="T156" t="s">
        <v>33</v>
      </c>
      <c r="U156" t="s">
        <v>65</v>
      </c>
      <c r="V156" t="s">
        <v>153</v>
      </c>
      <c r="W156" t="s">
        <v>100</v>
      </c>
      <c r="X156" t="s">
        <v>101</v>
      </c>
      <c r="Y156" t="s">
        <v>102</v>
      </c>
      <c r="Z156" t="s">
        <v>103</v>
      </c>
      <c r="AA156">
        <v>-2.1477533986999999</v>
      </c>
      <c r="AB156">
        <v>-79.8998586429</v>
      </c>
      <c r="AC156">
        <v>0</v>
      </c>
      <c r="AD156">
        <f>+VLOOKUP(L156,Evalua!$G$2:$H$12,2,0)</f>
        <v>1</v>
      </c>
      <c r="AE156">
        <f>+VLOOKUP(M156,Evalua!$G$2:$H$12,2,0)</f>
        <v>2</v>
      </c>
    </row>
    <row r="157" spans="1:31" hidden="1" x14ac:dyDescent="0.2">
      <c r="A157" s="1" t="s">
        <v>1428</v>
      </c>
      <c r="B157" t="s">
        <v>1429</v>
      </c>
      <c r="D157" t="s">
        <v>1990</v>
      </c>
      <c r="E157" t="s">
        <v>2007</v>
      </c>
      <c r="G157" t="s">
        <v>1430</v>
      </c>
      <c r="H157" t="s">
        <v>153</v>
      </c>
      <c r="I157" t="s">
        <v>26</v>
      </c>
      <c r="J157" t="s">
        <v>2</v>
      </c>
      <c r="K157" t="s">
        <v>183</v>
      </c>
      <c r="L157" t="s">
        <v>28</v>
      </c>
      <c r="M157" t="s">
        <v>160</v>
      </c>
      <c r="N157" t="str">
        <f>+VLOOKUP(A157,[1]Buscador!$B:$E,4,0)</f>
        <v>El Empalme</v>
      </c>
      <c r="O157" t="str">
        <f>+VLOOKUP(A157,[1]Buscador!$B:$F,5,0)</f>
        <v>Guayas</v>
      </c>
      <c r="P157" t="s">
        <v>31</v>
      </c>
      <c r="S157" t="s">
        <v>162</v>
      </c>
      <c r="T157" t="s">
        <v>83</v>
      </c>
      <c r="U157" t="s">
        <v>1256</v>
      </c>
      <c r="V157" t="s">
        <v>153</v>
      </c>
      <c r="W157" t="s">
        <v>171</v>
      </c>
      <c r="X157" t="s">
        <v>1431</v>
      </c>
      <c r="Y157" t="s">
        <v>1432</v>
      </c>
      <c r="Z157" t="s">
        <v>1433</v>
      </c>
      <c r="AA157">
        <v>-1.0423740465</v>
      </c>
      <c r="AB157">
        <v>-79.637542364400005</v>
      </c>
      <c r="AC157">
        <v>0</v>
      </c>
      <c r="AD157">
        <f>+VLOOKUP(L157,Evalua!$G$2:$H$12,2,0)</f>
        <v>1</v>
      </c>
      <c r="AE157">
        <f>+VLOOKUP(M157,Evalua!$G$2:$H$12,2,0)</f>
        <v>1</v>
      </c>
    </row>
    <row r="158" spans="1:31" hidden="1" x14ac:dyDescent="0.2">
      <c r="A158" s="1" t="s">
        <v>1117</v>
      </c>
      <c r="B158" t="s">
        <v>1061</v>
      </c>
      <c r="E158" s="2" t="s">
        <v>2015</v>
      </c>
      <c r="G158" t="s">
        <v>98</v>
      </c>
      <c r="H158" t="s">
        <v>153</v>
      </c>
      <c r="I158" t="s">
        <v>26</v>
      </c>
      <c r="J158" t="s">
        <v>99</v>
      </c>
      <c r="K158" t="s">
        <v>170</v>
      </c>
      <c r="L158" t="s">
        <v>81</v>
      </c>
      <c r="M158" t="s">
        <v>160</v>
      </c>
      <c r="N158" t="str">
        <f>+VLOOKUP(A158,[1]Buscador!$B:$E,4,0)</f>
        <v>Montecristi</v>
      </c>
      <c r="O158" t="str">
        <f>+VLOOKUP(A158,[1]Buscador!$B:$F,5,0)</f>
        <v>Manabí</v>
      </c>
      <c r="P158" t="s">
        <v>31</v>
      </c>
      <c r="S158" t="s">
        <v>208</v>
      </c>
      <c r="T158" t="s">
        <v>126</v>
      </c>
      <c r="U158" t="s">
        <v>1061</v>
      </c>
      <c r="V158" t="s">
        <v>153</v>
      </c>
      <c r="W158" t="s">
        <v>1118</v>
      </c>
      <c r="X158" t="s">
        <v>1119</v>
      </c>
      <c r="Y158" t="s">
        <v>1120</v>
      </c>
      <c r="Z158" t="s">
        <v>1121</v>
      </c>
      <c r="AA158">
        <v>-1.0457048081</v>
      </c>
      <c r="AB158">
        <v>-80.658403674499993</v>
      </c>
      <c r="AC158">
        <v>0</v>
      </c>
      <c r="AD158">
        <f>+VLOOKUP(L158,Evalua!$G$2:$H$12,2,0)</f>
        <v>3</v>
      </c>
      <c r="AE158">
        <f>+VLOOKUP(M158,Evalua!$G$2:$H$12,2,0)</f>
        <v>1</v>
      </c>
    </row>
    <row r="159" spans="1:31" hidden="1" x14ac:dyDescent="0.2">
      <c r="A159" s="1" t="s">
        <v>167</v>
      </c>
      <c r="B159" t="s">
        <v>168</v>
      </c>
      <c r="D159" t="s">
        <v>2003</v>
      </c>
      <c r="E159" t="s">
        <v>1991</v>
      </c>
      <c r="G159" t="s">
        <v>169</v>
      </c>
      <c r="H159" t="s">
        <v>153</v>
      </c>
      <c r="I159" t="s">
        <v>26</v>
      </c>
      <c r="J159" t="s">
        <v>2</v>
      </c>
      <c r="K159" t="s">
        <v>170</v>
      </c>
      <c r="L159" t="s">
        <v>123</v>
      </c>
      <c r="M159" t="s">
        <v>29</v>
      </c>
      <c r="N159" t="str">
        <f>+VLOOKUP(A159,[1]Buscador!$B:$E,4,0)</f>
        <v>Portoviejo</v>
      </c>
      <c r="O159" t="str">
        <f>+VLOOKUP(A159,[1]Buscador!$B:$F,5,0)</f>
        <v>Manabí</v>
      </c>
      <c r="P159" t="s">
        <v>31</v>
      </c>
      <c r="S159" t="s">
        <v>125</v>
      </c>
      <c r="T159" t="s">
        <v>126</v>
      </c>
      <c r="U159" t="s">
        <v>112</v>
      </c>
      <c r="V159" t="s">
        <v>153</v>
      </c>
      <c r="W159" t="s">
        <v>172</v>
      </c>
      <c r="X159" t="s">
        <v>173</v>
      </c>
      <c r="Y159" t="s">
        <v>174</v>
      </c>
      <c r="Z159" t="s">
        <v>175</v>
      </c>
      <c r="AA159">
        <v>-1.0733569999999999</v>
      </c>
      <c r="AB159">
        <v>-80.444452999999996</v>
      </c>
      <c r="AC159">
        <v>0</v>
      </c>
      <c r="AD159">
        <f>+VLOOKUP(L159,Evalua!$G$2:$H$12,2,0)</f>
        <v>4</v>
      </c>
      <c r="AE159">
        <f>+VLOOKUP(M159,Evalua!$G$2:$H$12,2,0)</f>
        <v>2</v>
      </c>
    </row>
    <row r="160" spans="1:31" hidden="1" x14ac:dyDescent="0.2">
      <c r="A160" s="1" t="s">
        <v>846</v>
      </c>
      <c r="B160" t="s">
        <v>792</v>
      </c>
      <c r="E160" s="3" t="s">
        <v>1997</v>
      </c>
      <c r="G160" t="s">
        <v>98</v>
      </c>
      <c r="H160" t="s">
        <v>153</v>
      </c>
      <c r="I160" t="s">
        <v>26</v>
      </c>
      <c r="J160" t="s">
        <v>99</v>
      </c>
      <c r="K160" t="s">
        <v>46</v>
      </c>
      <c r="L160" t="s">
        <v>28</v>
      </c>
      <c r="M160" t="s">
        <v>29</v>
      </c>
      <c r="N160" t="str">
        <f>+VLOOKUP(A160,[1]Buscador!$B:$E,4,0)</f>
        <v>Durán</v>
      </c>
      <c r="O160" t="str">
        <f>+VLOOKUP(A160,[1]Buscador!$B:$F,5,0)</f>
        <v>Guayas</v>
      </c>
      <c r="P160" t="s">
        <v>31</v>
      </c>
      <c r="S160" t="s">
        <v>32</v>
      </c>
      <c r="T160" t="s">
        <v>33</v>
      </c>
      <c r="U160" t="s">
        <v>792</v>
      </c>
      <c r="V160" t="s">
        <v>153</v>
      </c>
      <c r="W160" t="s">
        <v>847</v>
      </c>
      <c r="X160" t="s">
        <v>848</v>
      </c>
      <c r="Y160" t="s">
        <v>849</v>
      </c>
      <c r="Z160" t="s">
        <v>850</v>
      </c>
      <c r="AA160">
        <v>-2.1687090961000002</v>
      </c>
      <c r="AB160">
        <v>-79.839177669999998</v>
      </c>
      <c r="AC160">
        <v>0</v>
      </c>
      <c r="AD160">
        <f>+VLOOKUP(L160,Evalua!$G$2:$H$12,2,0)</f>
        <v>1</v>
      </c>
      <c r="AE160">
        <f>+VLOOKUP(M160,Evalua!$G$2:$H$12,2,0)</f>
        <v>2</v>
      </c>
    </row>
    <row r="161" spans="1:31" hidden="1" x14ac:dyDescent="0.2">
      <c r="A161" s="1" t="s">
        <v>1853</v>
      </c>
      <c r="B161" t="s">
        <v>1854</v>
      </c>
      <c r="D161" t="s">
        <v>2002</v>
      </c>
      <c r="E161" t="s">
        <v>1997</v>
      </c>
      <c r="G161" t="s">
        <v>1543</v>
      </c>
      <c r="H161" t="s">
        <v>153</v>
      </c>
      <c r="I161" t="s">
        <v>26</v>
      </c>
      <c r="J161" t="s">
        <v>2</v>
      </c>
      <c r="K161" t="s">
        <v>46</v>
      </c>
      <c r="L161" t="s">
        <v>28</v>
      </c>
      <c r="M161" t="s">
        <v>29</v>
      </c>
      <c r="N161" t="str">
        <f>+VLOOKUP(A161,[1]Buscador!$B:$E,4,0)</f>
        <v>Guayaquil</v>
      </c>
      <c r="O161" t="str">
        <f>+VLOOKUP(A161,[1]Buscador!$B:$F,5,0)</f>
        <v>Guayas</v>
      </c>
      <c r="P161" t="s">
        <v>153</v>
      </c>
      <c r="S161" t="s">
        <v>32</v>
      </c>
      <c r="T161" t="s">
        <v>33</v>
      </c>
      <c r="U161" t="s">
        <v>1543</v>
      </c>
      <c r="V161" t="s">
        <v>153</v>
      </c>
      <c r="X161" t="s">
        <v>1855</v>
      </c>
      <c r="Z161" t="s">
        <v>1963</v>
      </c>
      <c r="AA161">
        <v>-2.0737460686847</v>
      </c>
      <c r="AB161">
        <v>-79.940098529820006</v>
      </c>
      <c r="AC161">
        <v>0</v>
      </c>
      <c r="AD161">
        <f>+VLOOKUP(L161,Evalua!$G$2:$H$12,2,0)</f>
        <v>1</v>
      </c>
      <c r="AE161">
        <f>+VLOOKUP(M161,Evalua!$G$2:$H$12,2,0)</f>
        <v>2</v>
      </c>
    </row>
    <row r="162" spans="1:31" hidden="1" x14ac:dyDescent="0.2">
      <c r="A162" s="1" t="s">
        <v>952</v>
      </c>
      <c r="B162" t="s">
        <v>898</v>
      </c>
      <c r="G162" t="s">
        <v>98</v>
      </c>
      <c r="H162" t="s">
        <v>153</v>
      </c>
      <c r="I162" t="s">
        <v>26</v>
      </c>
      <c r="J162" t="s">
        <v>99</v>
      </c>
      <c r="K162" t="s">
        <v>27</v>
      </c>
      <c r="L162" t="s">
        <v>28</v>
      </c>
      <c r="M162" t="s">
        <v>29</v>
      </c>
      <c r="N162" t="str">
        <f>+VLOOKUP(A162,[1]Buscador!$B:$E,4,0)</f>
        <v>Calderón</v>
      </c>
      <c r="O162" t="str">
        <f>+VLOOKUP(A162,[1]Buscador!$B:$F,5,0)</f>
        <v>Pichincha</v>
      </c>
      <c r="P162" t="s">
        <v>153</v>
      </c>
      <c r="S162" t="s">
        <v>32</v>
      </c>
      <c r="T162" t="s">
        <v>33</v>
      </c>
      <c r="U162" t="s">
        <v>898</v>
      </c>
      <c r="V162" t="s">
        <v>153</v>
      </c>
      <c r="W162" t="s">
        <v>953</v>
      </c>
      <c r="X162" t="s">
        <v>954</v>
      </c>
      <c r="Y162" t="s">
        <v>955</v>
      </c>
      <c r="Z162" t="s">
        <v>956</v>
      </c>
      <c r="AA162">
        <v>-0.10317715230000001</v>
      </c>
      <c r="AB162">
        <v>-78.424161818100004</v>
      </c>
      <c r="AC162">
        <v>0</v>
      </c>
      <c r="AD162">
        <f>+VLOOKUP(L162,Evalua!$G$2:$H$12,2,0)</f>
        <v>1</v>
      </c>
      <c r="AE162">
        <f>+VLOOKUP(M162,Evalua!$G$2:$H$12,2,0)</f>
        <v>2</v>
      </c>
    </row>
    <row r="163" spans="1:31" hidden="1" x14ac:dyDescent="0.2">
      <c r="A163" s="1" t="s">
        <v>608</v>
      </c>
      <c r="B163" t="s">
        <v>553</v>
      </c>
      <c r="E163" s="3" t="s">
        <v>2000</v>
      </c>
      <c r="G163" t="s">
        <v>98</v>
      </c>
      <c r="H163" t="s">
        <v>153</v>
      </c>
      <c r="I163" t="s">
        <v>26</v>
      </c>
      <c r="J163" t="s">
        <v>99</v>
      </c>
      <c r="K163" t="s">
        <v>46</v>
      </c>
      <c r="L163" t="s">
        <v>28</v>
      </c>
      <c r="M163" t="s">
        <v>29</v>
      </c>
      <c r="N163" t="str">
        <f>+VLOOKUP(A163,[1]Buscador!$B:$E,4,0)</f>
        <v>Guayaquil</v>
      </c>
      <c r="O163" t="str">
        <f>+VLOOKUP(A163,[1]Buscador!$B:$F,5,0)</f>
        <v>Guayas</v>
      </c>
      <c r="P163" t="s">
        <v>31</v>
      </c>
      <c r="S163" t="s">
        <v>32</v>
      </c>
      <c r="T163" t="s">
        <v>33</v>
      </c>
      <c r="U163" t="s">
        <v>553</v>
      </c>
      <c r="V163" t="s">
        <v>153</v>
      </c>
      <c r="W163" t="s">
        <v>609</v>
      </c>
      <c r="X163" t="s">
        <v>610</v>
      </c>
      <c r="Y163" t="s">
        <v>611</v>
      </c>
      <c r="Z163" t="s">
        <v>612</v>
      </c>
      <c r="AA163">
        <v>-2.1653910000000001</v>
      </c>
      <c r="AB163">
        <v>-79.923584000000005</v>
      </c>
      <c r="AC163">
        <v>0</v>
      </c>
      <c r="AD163">
        <f>+VLOOKUP(L163,Evalua!$G$2:$H$12,2,0)</f>
        <v>1</v>
      </c>
      <c r="AE163">
        <f>+VLOOKUP(M163,Evalua!$G$2:$H$12,2,0)</f>
        <v>2</v>
      </c>
    </row>
    <row r="164" spans="1:31" hidden="1" x14ac:dyDescent="0.2">
      <c r="A164" s="1" t="s">
        <v>638</v>
      </c>
      <c r="B164" t="s">
        <v>584</v>
      </c>
      <c r="D164" t="s">
        <v>1990</v>
      </c>
      <c r="E164" s="3" t="s">
        <v>1997</v>
      </c>
      <c r="G164" t="s">
        <v>98</v>
      </c>
      <c r="H164" t="s">
        <v>153</v>
      </c>
      <c r="I164" t="s">
        <v>26</v>
      </c>
      <c r="J164" t="s">
        <v>99</v>
      </c>
      <c r="K164" t="s">
        <v>46</v>
      </c>
      <c r="L164" t="s">
        <v>28</v>
      </c>
      <c r="M164" t="s">
        <v>29</v>
      </c>
      <c r="N164" t="str">
        <f>+VLOOKUP(A164,[1]Buscador!$B:$E,4,0)</f>
        <v>Guayaquil</v>
      </c>
      <c r="O164" t="str">
        <f>+VLOOKUP(A164,[1]Buscador!$B:$F,5,0)</f>
        <v>Guayas</v>
      </c>
      <c r="P164" t="s">
        <v>153</v>
      </c>
      <c r="S164" t="s">
        <v>32</v>
      </c>
      <c r="T164" t="s">
        <v>33</v>
      </c>
      <c r="U164" t="s">
        <v>584</v>
      </c>
      <c r="V164" t="s">
        <v>153</v>
      </c>
      <c r="W164" t="s">
        <v>639</v>
      </c>
      <c r="X164" t="s">
        <v>640</v>
      </c>
      <c r="Y164" t="s">
        <v>641</v>
      </c>
      <c r="Z164" t="s">
        <v>642</v>
      </c>
      <c r="AA164">
        <v>-2.1901609999999998</v>
      </c>
      <c r="AB164">
        <v>-79.886549000000002</v>
      </c>
      <c r="AC164">
        <v>0</v>
      </c>
      <c r="AD164">
        <f>+VLOOKUP(L164,Evalua!$G$2:$H$12,2,0)</f>
        <v>1</v>
      </c>
      <c r="AE164">
        <f>+VLOOKUP(M164,Evalua!$G$2:$H$12,2,0)</f>
        <v>2</v>
      </c>
    </row>
    <row r="165" spans="1:31" hidden="1" x14ac:dyDescent="0.2">
      <c r="A165" s="1" t="s">
        <v>694</v>
      </c>
      <c r="B165" t="s">
        <v>639</v>
      </c>
      <c r="E165" s="3" t="s">
        <v>1997</v>
      </c>
      <c r="G165" t="s">
        <v>98</v>
      </c>
      <c r="H165" t="s">
        <v>153</v>
      </c>
      <c r="I165" t="s">
        <v>26</v>
      </c>
      <c r="J165" t="s">
        <v>99</v>
      </c>
      <c r="K165" t="s">
        <v>46</v>
      </c>
      <c r="L165" t="s">
        <v>28</v>
      </c>
      <c r="M165" t="s">
        <v>29</v>
      </c>
      <c r="N165" t="str">
        <f>+VLOOKUP(A165,[1]Buscador!$B:$E,4,0)</f>
        <v>Guayaquil</v>
      </c>
      <c r="O165" t="str">
        <f>+VLOOKUP(A165,[1]Buscador!$B:$F,5,0)</f>
        <v>Guayas</v>
      </c>
      <c r="P165" t="s">
        <v>153</v>
      </c>
      <c r="S165" t="s">
        <v>32</v>
      </c>
      <c r="T165" t="s">
        <v>33</v>
      </c>
      <c r="U165" t="s">
        <v>639</v>
      </c>
      <c r="V165" t="s">
        <v>153</v>
      </c>
      <c r="W165" t="s">
        <v>695</v>
      </c>
      <c r="X165" t="s">
        <v>696</v>
      </c>
      <c r="Y165" t="s">
        <v>697</v>
      </c>
      <c r="Z165" t="s">
        <v>698</v>
      </c>
      <c r="AA165">
        <v>-2.0911584741000002</v>
      </c>
      <c r="AB165">
        <v>-79.922668953400006</v>
      </c>
      <c r="AC165">
        <v>0</v>
      </c>
      <c r="AD165">
        <f>+VLOOKUP(L165,Evalua!$G$2:$H$12,2,0)</f>
        <v>1</v>
      </c>
      <c r="AE165">
        <f>+VLOOKUP(M165,Evalua!$G$2:$H$12,2,0)</f>
        <v>2</v>
      </c>
    </row>
    <row r="166" spans="1:31" hidden="1" x14ac:dyDescent="0.2">
      <c r="A166" s="1" t="s">
        <v>1086</v>
      </c>
      <c r="B166" t="s">
        <v>1031</v>
      </c>
      <c r="G166" t="s">
        <v>98</v>
      </c>
      <c r="H166" t="s">
        <v>153</v>
      </c>
      <c r="I166" t="s">
        <v>26</v>
      </c>
      <c r="J166" t="s">
        <v>99</v>
      </c>
      <c r="K166" t="s">
        <v>183</v>
      </c>
      <c r="L166" t="s">
        <v>28</v>
      </c>
      <c r="M166" t="s">
        <v>160</v>
      </c>
      <c r="N166" t="str">
        <f>+VLOOKUP(A166,[1]Buscador!$B:$E,4,0)</f>
        <v>La Maná</v>
      </c>
      <c r="O166" t="str">
        <f>+VLOOKUP(A166,[1]Buscador!$B:$F,5,0)</f>
        <v>Cotopaxi</v>
      </c>
      <c r="P166" t="s">
        <v>31</v>
      </c>
      <c r="S166" t="s">
        <v>162</v>
      </c>
      <c r="T166" t="s">
        <v>83</v>
      </c>
      <c r="U166" t="s">
        <v>1031</v>
      </c>
      <c r="V166" t="s">
        <v>153</v>
      </c>
      <c r="W166" t="s">
        <v>1087</v>
      </c>
      <c r="X166" t="s">
        <v>1088</v>
      </c>
      <c r="Y166" t="s">
        <v>1089</v>
      </c>
      <c r="Z166" t="s">
        <v>1090</v>
      </c>
      <c r="AA166">
        <v>-0.94144799999999995</v>
      </c>
      <c r="AB166">
        <v>-79.227945000000005</v>
      </c>
      <c r="AC166">
        <v>0</v>
      </c>
      <c r="AD166">
        <f>+VLOOKUP(L166,Evalua!$G$2:$H$12,2,0)</f>
        <v>1</v>
      </c>
      <c r="AE166">
        <f>+VLOOKUP(M166,Evalua!$G$2:$H$12,2,0)</f>
        <v>1</v>
      </c>
    </row>
    <row r="167" spans="1:31" hidden="1" x14ac:dyDescent="0.2">
      <c r="A167" s="1" t="s">
        <v>1473</v>
      </c>
      <c r="B167" t="s">
        <v>1474</v>
      </c>
      <c r="D167" t="s">
        <v>1990</v>
      </c>
      <c r="E167" t="s">
        <v>2008</v>
      </c>
      <c r="G167" t="s">
        <v>1475</v>
      </c>
      <c r="H167" t="s">
        <v>153</v>
      </c>
      <c r="I167" t="s">
        <v>26</v>
      </c>
      <c r="J167" t="s">
        <v>2</v>
      </c>
      <c r="K167" t="s">
        <v>46</v>
      </c>
      <c r="L167" t="s">
        <v>28</v>
      </c>
      <c r="M167" t="s">
        <v>29</v>
      </c>
      <c r="N167" t="str">
        <f>+VLOOKUP(A167,[1]Buscador!$B:$E,4,0)</f>
        <v>Guayaquil</v>
      </c>
      <c r="O167" t="str">
        <f>+VLOOKUP(A167,[1]Buscador!$B:$F,5,0)</f>
        <v>Guayas</v>
      </c>
      <c r="P167" t="s">
        <v>31</v>
      </c>
      <c r="S167" t="s">
        <v>32</v>
      </c>
      <c r="T167" t="s">
        <v>33</v>
      </c>
      <c r="U167" t="s">
        <v>1277</v>
      </c>
      <c r="V167" t="s">
        <v>153</v>
      </c>
      <c r="W167" t="s">
        <v>1476</v>
      </c>
      <c r="X167" t="s">
        <v>1477</v>
      </c>
      <c r="Y167" t="s">
        <v>1478</v>
      </c>
      <c r="Z167" t="s">
        <v>1479</v>
      </c>
      <c r="AA167">
        <v>-2.1782731905000001</v>
      </c>
      <c r="AB167">
        <v>-79.884292520200006</v>
      </c>
      <c r="AC167">
        <v>0</v>
      </c>
      <c r="AD167">
        <f>+VLOOKUP(L167,Evalua!$G$2:$H$12,2,0)</f>
        <v>1</v>
      </c>
      <c r="AE167">
        <f>+VLOOKUP(M167,Evalua!$G$2:$H$12,2,0)</f>
        <v>2</v>
      </c>
    </row>
    <row r="168" spans="1:31" hidden="1" x14ac:dyDescent="0.2">
      <c r="A168" s="1" t="s">
        <v>1557</v>
      </c>
      <c r="B168" t="s">
        <v>1558</v>
      </c>
      <c r="D168" t="s">
        <v>1990</v>
      </c>
      <c r="E168" t="s">
        <v>2000</v>
      </c>
      <c r="G168" t="s">
        <v>1559</v>
      </c>
      <c r="H168" t="s">
        <v>153</v>
      </c>
      <c r="I168" t="s">
        <v>26</v>
      </c>
      <c r="J168" t="s">
        <v>2</v>
      </c>
      <c r="K168" t="s">
        <v>46</v>
      </c>
      <c r="L168" t="s">
        <v>28</v>
      </c>
      <c r="M168" t="s">
        <v>29</v>
      </c>
      <c r="N168" t="str">
        <f>+VLOOKUP(A168,[1]Buscador!$B:$E,4,0)</f>
        <v>Guayaquil</v>
      </c>
      <c r="O168" t="str">
        <f>+VLOOKUP(A168,[1]Buscador!$B:$F,5,0)</f>
        <v>Guayas</v>
      </c>
      <c r="P168" t="s">
        <v>31</v>
      </c>
      <c r="S168" t="s">
        <v>32</v>
      </c>
      <c r="T168" t="s">
        <v>33</v>
      </c>
      <c r="U168" t="s">
        <v>1316</v>
      </c>
      <c r="V168" t="s">
        <v>153</v>
      </c>
      <c r="W168" t="s">
        <v>1560</v>
      </c>
      <c r="X168" t="s">
        <v>1561</v>
      </c>
      <c r="Y168" t="s">
        <v>1562</v>
      </c>
      <c r="Z168" t="s">
        <v>637</v>
      </c>
      <c r="AA168">
        <v>-2.1800670462</v>
      </c>
      <c r="AB168">
        <v>-79.944811350099997</v>
      </c>
      <c r="AC168">
        <v>0</v>
      </c>
      <c r="AD168">
        <f>+VLOOKUP(L168,Evalua!$G$2:$H$12,2,0)</f>
        <v>1</v>
      </c>
      <c r="AE168">
        <f>+VLOOKUP(M168,Evalua!$G$2:$H$12,2,0)</f>
        <v>2</v>
      </c>
    </row>
    <row r="169" spans="1:31" hidden="1" x14ac:dyDescent="0.2">
      <c r="A169" s="1" t="s">
        <v>633</v>
      </c>
      <c r="B169" t="s">
        <v>579</v>
      </c>
      <c r="D169" t="s">
        <v>1990</v>
      </c>
      <c r="E169" t="s">
        <v>2000</v>
      </c>
      <c r="G169" t="s">
        <v>98</v>
      </c>
      <c r="H169" t="s">
        <v>153</v>
      </c>
      <c r="I169" t="s">
        <v>26</v>
      </c>
      <c r="J169" t="s">
        <v>99</v>
      </c>
      <c r="K169" t="s">
        <v>46</v>
      </c>
      <c r="L169" t="s">
        <v>28</v>
      </c>
      <c r="M169" t="s">
        <v>29</v>
      </c>
      <c r="N169" t="str">
        <f>+VLOOKUP(A169,[1]Buscador!$B:$E,4,0)</f>
        <v>Guayaquil</v>
      </c>
      <c r="O169" t="str">
        <f>+VLOOKUP(A169,[1]Buscador!$B:$F,5,0)</f>
        <v>Guayas</v>
      </c>
      <c r="P169" t="s">
        <v>31</v>
      </c>
      <c r="S169" t="s">
        <v>32</v>
      </c>
      <c r="T169" t="s">
        <v>33</v>
      </c>
      <c r="U169" t="s">
        <v>579</v>
      </c>
      <c r="V169" t="s">
        <v>153</v>
      </c>
      <c r="W169" t="s">
        <v>634</v>
      </c>
      <c r="X169" t="s">
        <v>635</v>
      </c>
      <c r="Y169" t="s">
        <v>636</v>
      </c>
      <c r="Z169" t="s">
        <v>637</v>
      </c>
      <c r="AA169">
        <v>-2.1800670462</v>
      </c>
      <c r="AB169">
        <v>-79.944811350099997</v>
      </c>
      <c r="AC169">
        <v>0</v>
      </c>
      <c r="AD169">
        <f>+VLOOKUP(L169,Evalua!$G$2:$H$12,2,0)</f>
        <v>1</v>
      </c>
      <c r="AE169">
        <f>+VLOOKUP(M169,Evalua!$G$2:$H$12,2,0)</f>
        <v>2</v>
      </c>
    </row>
    <row r="170" spans="1:31" hidden="1" x14ac:dyDescent="0.2">
      <c r="A170" s="1" t="s">
        <v>699</v>
      </c>
      <c r="B170" t="s">
        <v>644</v>
      </c>
      <c r="E170" s="3" t="s">
        <v>1998</v>
      </c>
      <c r="G170" t="s">
        <v>98</v>
      </c>
      <c r="H170" t="s">
        <v>153</v>
      </c>
      <c r="I170" t="s">
        <v>26</v>
      </c>
      <c r="J170" t="s">
        <v>99</v>
      </c>
      <c r="K170" t="s">
        <v>46</v>
      </c>
      <c r="L170" t="s">
        <v>28</v>
      </c>
      <c r="M170" t="s">
        <v>29</v>
      </c>
      <c r="N170" t="str">
        <f>+VLOOKUP(A170,[1]Buscador!$B:$E,4,0)</f>
        <v>Samborondón</v>
      </c>
      <c r="O170" t="str">
        <f>+VLOOKUP(A170,[1]Buscador!$B:$F,5,0)</f>
        <v>Guayas</v>
      </c>
      <c r="P170" t="s">
        <v>31</v>
      </c>
      <c r="S170" t="s">
        <v>32</v>
      </c>
      <c r="T170" t="s">
        <v>33</v>
      </c>
      <c r="U170" t="s">
        <v>644</v>
      </c>
      <c r="V170" t="s">
        <v>153</v>
      </c>
      <c r="W170" t="s">
        <v>700</v>
      </c>
      <c r="X170" t="s">
        <v>701</v>
      </c>
      <c r="Y170" t="s">
        <v>702</v>
      </c>
      <c r="Z170" t="s">
        <v>323</v>
      </c>
      <c r="AA170">
        <v>-2.1416837491999998</v>
      </c>
      <c r="AB170">
        <v>-79.864768909000006</v>
      </c>
      <c r="AC170">
        <v>0</v>
      </c>
      <c r="AD170">
        <f>+VLOOKUP(L170,Evalua!$G$2:$H$12,2,0)</f>
        <v>1</v>
      </c>
      <c r="AE170">
        <f>+VLOOKUP(M170,Evalua!$G$2:$H$12,2,0)</f>
        <v>2</v>
      </c>
    </row>
    <row r="171" spans="1:31" hidden="1" x14ac:dyDescent="0.2">
      <c r="A171" s="1" t="s">
        <v>613</v>
      </c>
      <c r="B171" t="s">
        <v>558</v>
      </c>
      <c r="D171" t="s">
        <v>1996</v>
      </c>
      <c r="E171" s="3" t="s">
        <v>2006</v>
      </c>
      <c r="G171" t="s">
        <v>98</v>
      </c>
      <c r="H171" t="s">
        <v>153</v>
      </c>
      <c r="I171" t="s">
        <v>26</v>
      </c>
      <c r="J171" t="s">
        <v>99</v>
      </c>
      <c r="K171" t="s">
        <v>46</v>
      </c>
      <c r="L171" t="s">
        <v>28</v>
      </c>
      <c r="M171" t="s">
        <v>29</v>
      </c>
      <c r="N171" t="str">
        <f>+VLOOKUP(A171,[1]Buscador!$B:$E,4,0)</f>
        <v>Guayaquil</v>
      </c>
      <c r="O171" t="str">
        <f>+VLOOKUP(A171,[1]Buscador!$B:$F,5,0)</f>
        <v>Guayas</v>
      </c>
      <c r="P171" t="s">
        <v>153</v>
      </c>
      <c r="S171" t="s">
        <v>32</v>
      </c>
      <c r="T171" t="s">
        <v>33</v>
      </c>
      <c r="U171" t="s">
        <v>558</v>
      </c>
      <c r="V171" t="s">
        <v>153</v>
      </c>
      <c r="W171" t="s">
        <v>614</v>
      </c>
      <c r="X171" t="s">
        <v>615</v>
      </c>
      <c r="Y171" t="s">
        <v>616</v>
      </c>
      <c r="Z171" t="s">
        <v>617</v>
      </c>
      <c r="AA171">
        <v>-2.2611319999999999</v>
      </c>
      <c r="AB171">
        <v>-79.878462999999996</v>
      </c>
      <c r="AC171">
        <v>0</v>
      </c>
      <c r="AD171">
        <f>+VLOOKUP(L171,Evalua!$G$2:$H$12,2,0)</f>
        <v>1</v>
      </c>
      <c r="AE171">
        <f>+VLOOKUP(M171,Evalua!$G$2:$H$12,2,0)</f>
        <v>2</v>
      </c>
    </row>
    <row r="172" spans="1:31" hidden="1" x14ac:dyDescent="0.2">
      <c r="A172" s="1" t="s">
        <v>806</v>
      </c>
      <c r="B172" t="s">
        <v>751</v>
      </c>
      <c r="D172" t="s">
        <v>1996</v>
      </c>
      <c r="E172" s="3" t="s">
        <v>1997</v>
      </c>
      <c r="G172" t="s">
        <v>98</v>
      </c>
      <c r="H172" t="s">
        <v>153</v>
      </c>
      <c r="I172" t="s">
        <v>26</v>
      </c>
      <c r="J172" t="s">
        <v>99</v>
      </c>
      <c r="K172" t="s">
        <v>46</v>
      </c>
      <c r="L172" t="s">
        <v>28</v>
      </c>
      <c r="M172" t="s">
        <v>29</v>
      </c>
      <c r="N172" t="str">
        <f>+VLOOKUP(A172,[1]Buscador!$B:$E,4,0)</f>
        <v>Guayaquil</v>
      </c>
      <c r="O172" t="str">
        <f>+VLOOKUP(A172,[1]Buscador!$B:$F,5,0)</f>
        <v>Guayas</v>
      </c>
      <c r="P172" t="s">
        <v>31</v>
      </c>
      <c r="S172" t="s">
        <v>32</v>
      </c>
      <c r="T172" t="s">
        <v>33</v>
      </c>
      <c r="U172" t="s">
        <v>751</v>
      </c>
      <c r="V172" t="s">
        <v>153</v>
      </c>
      <c r="W172" t="s">
        <v>807</v>
      </c>
      <c r="X172" t="s">
        <v>808</v>
      </c>
      <c r="Y172" t="s">
        <v>809</v>
      </c>
      <c r="Z172" t="s">
        <v>810</v>
      </c>
      <c r="AA172">
        <v>-2.1924640000000002</v>
      </c>
      <c r="AB172">
        <v>-79.879536000000002</v>
      </c>
      <c r="AC172">
        <v>0</v>
      </c>
      <c r="AD172">
        <f>+VLOOKUP(L172,Evalua!$G$2:$H$12,2,0)</f>
        <v>1</v>
      </c>
      <c r="AE172">
        <f>+VLOOKUP(M172,Evalua!$G$2:$H$12,2,0)</f>
        <v>2</v>
      </c>
    </row>
    <row r="173" spans="1:31" hidden="1" x14ac:dyDescent="0.2">
      <c r="A173" s="1" t="s">
        <v>1248</v>
      </c>
      <c r="B173" t="s">
        <v>1249</v>
      </c>
      <c r="D173" t="s">
        <v>1990</v>
      </c>
      <c r="E173" t="s">
        <v>2005</v>
      </c>
      <c r="G173" t="s">
        <v>1250</v>
      </c>
      <c r="H173" t="s">
        <v>153</v>
      </c>
      <c r="I173" t="s">
        <v>26</v>
      </c>
      <c r="J173" t="s">
        <v>2</v>
      </c>
      <c r="K173" t="s">
        <v>183</v>
      </c>
      <c r="L173" t="s">
        <v>28</v>
      </c>
      <c r="M173" t="s">
        <v>160</v>
      </c>
      <c r="N173" t="str">
        <f>+VLOOKUP(A173,[1]Buscador!$B:$E,4,0)</f>
        <v>San Jacinto de Buena Fe</v>
      </c>
      <c r="O173" t="str">
        <f>+VLOOKUP(A173,[1]Buscador!$B:$F,5,0)</f>
        <v>Los Ríos</v>
      </c>
      <c r="P173" t="s">
        <v>31</v>
      </c>
      <c r="S173" t="s">
        <v>162</v>
      </c>
      <c r="T173" t="s">
        <v>83</v>
      </c>
      <c r="U173" t="s">
        <v>1183</v>
      </c>
      <c r="V173" t="s">
        <v>153</v>
      </c>
      <c r="W173" t="s">
        <v>1251</v>
      </c>
      <c r="X173" t="s">
        <v>1252</v>
      </c>
      <c r="Y173" t="s">
        <v>1253</v>
      </c>
      <c r="Z173" t="s">
        <v>1254</v>
      </c>
      <c r="AA173">
        <v>-0.89612508619999998</v>
      </c>
      <c r="AB173">
        <v>-79.490255461999993</v>
      </c>
      <c r="AC173">
        <v>0</v>
      </c>
      <c r="AD173">
        <f>+VLOOKUP(L173,Evalua!$G$2:$H$12,2,0)</f>
        <v>1</v>
      </c>
      <c r="AE173">
        <f>+VLOOKUP(M173,Evalua!$G$2:$H$12,2,0)</f>
        <v>1</v>
      </c>
    </row>
    <row r="174" spans="1:31" hidden="1" x14ac:dyDescent="0.2">
      <c r="A174" s="1" t="s">
        <v>821</v>
      </c>
      <c r="B174" t="s">
        <v>767</v>
      </c>
      <c r="E174" s="3" t="s">
        <v>2006</v>
      </c>
      <c r="G174" t="s">
        <v>98</v>
      </c>
      <c r="H174" t="s">
        <v>153</v>
      </c>
      <c r="I174" t="s">
        <v>26</v>
      </c>
      <c r="J174" t="s">
        <v>99</v>
      </c>
      <c r="K174" t="s">
        <v>27</v>
      </c>
      <c r="L174" t="s">
        <v>28</v>
      </c>
      <c r="M174" t="s">
        <v>29</v>
      </c>
      <c r="N174" t="str">
        <f>+VLOOKUP(A174,[1]Buscador!$B:$E,4,0)</f>
        <v>Guayaquil</v>
      </c>
      <c r="O174" t="str">
        <f>+VLOOKUP(A174,[1]Buscador!$B:$F,5,0)</f>
        <v>Guayas</v>
      </c>
      <c r="P174" t="s">
        <v>153</v>
      </c>
      <c r="S174" t="s">
        <v>32</v>
      </c>
      <c r="T174" t="s">
        <v>33</v>
      </c>
      <c r="U174" t="s">
        <v>767</v>
      </c>
      <c r="V174" t="s">
        <v>153</v>
      </c>
      <c r="W174" t="s">
        <v>822</v>
      </c>
      <c r="X174" t="s">
        <v>823</v>
      </c>
      <c r="Y174" t="s">
        <v>824</v>
      </c>
      <c r="Z174" t="s">
        <v>825</v>
      </c>
      <c r="AA174">
        <v>-2.1430297047</v>
      </c>
      <c r="AB174">
        <v>-79.884464623300005</v>
      </c>
      <c r="AC174">
        <v>0</v>
      </c>
      <c r="AD174">
        <f>+VLOOKUP(L174,Evalua!$G$2:$H$12,2,0)</f>
        <v>1</v>
      </c>
      <c r="AE174">
        <f>+VLOOKUP(M174,Evalua!$G$2:$H$12,2,0)</f>
        <v>2</v>
      </c>
    </row>
    <row r="175" spans="1:31" hidden="1" x14ac:dyDescent="0.2">
      <c r="A175" s="1" t="s">
        <v>180</v>
      </c>
      <c r="B175" t="s">
        <v>181</v>
      </c>
      <c r="D175" t="s">
        <v>1990</v>
      </c>
      <c r="E175" t="s">
        <v>1993</v>
      </c>
      <c r="F175" t="s">
        <v>1988</v>
      </c>
      <c r="G175" t="s">
        <v>182</v>
      </c>
      <c r="H175" t="s">
        <v>153</v>
      </c>
      <c r="I175" t="s">
        <v>26</v>
      </c>
      <c r="J175" t="s">
        <v>2</v>
      </c>
      <c r="K175" t="s">
        <v>183</v>
      </c>
      <c r="L175" t="s">
        <v>28</v>
      </c>
      <c r="M175" t="s">
        <v>160</v>
      </c>
      <c r="N175" t="str">
        <f>+VLOOKUP(A175,[1]Buscador!$B:$E,4,0)</f>
        <v>Quevedo</v>
      </c>
      <c r="O175" t="str">
        <f>+VLOOKUP(A175,[1]Buscador!$B:$F,5,0)</f>
        <v>Los Ríos</v>
      </c>
      <c r="P175" t="s">
        <v>31</v>
      </c>
      <c r="S175" t="s">
        <v>162</v>
      </c>
      <c r="T175" t="s">
        <v>83</v>
      </c>
      <c r="U175" t="s">
        <v>117</v>
      </c>
      <c r="V175" t="s">
        <v>153</v>
      </c>
      <c r="W175" t="s">
        <v>185</v>
      </c>
      <c r="X175" t="s">
        <v>186</v>
      </c>
      <c r="Y175" t="s">
        <v>187</v>
      </c>
      <c r="Z175" t="s">
        <v>188</v>
      </c>
      <c r="AA175">
        <v>-0.97912999999999994</v>
      </c>
      <c r="AB175">
        <v>-79.440004000000002</v>
      </c>
      <c r="AC175">
        <v>0</v>
      </c>
      <c r="AD175">
        <f>+VLOOKUP(L175,Evalua!$G$2:$H$12,2,0)</f>
        <v>1</v>
      </c>
      <c r="AE175">
        <f>+VLOOKUP(M175,Evalua!$G$2:$H$12,2,0)</f>
        <v>1</v>
      </c>
    </row>
    <row r="176" spans="1:31" hidden="1" x14ac:dyDescent="0.2">
      <c r="A176" s="1" t="s">
        <v>1709</v>
      </c>
      <c r="B176" t="s">
        <v>1710</v>
      </c>
      <c r="G176" t="s">
        <v>1711</v>
      </c>
      <c r="H176" t="s">
        <v>153</v>
      </c>
      <c r="I176" t="s">
        <v>26</v>
      </c>
      <c r="J176" t="s">
        <v>2</v>
      </c>
      <c r="K176" t="s">
        <v>27</v>
      </c>
      <c r="L176" t="s">
        <v>28</v>
      </c>
      <c r="M176" t="s">
        <v>29</v>
      </c>
      <c r="N176" t="str">
        <f>+VLOOKUP(A176,[1]Buscador!$B:$E,4,0)</f>
        <v>Quito</v>
      </c>
      <c r="O176" t="str">
        <f>+VLOOKUP(A176,[1]Buscador!$B:$F,5,0)</f>
        <v>Pichincha</v>
      </c>
      <c r="P176" t="s">
        <v>31</v>
      </c>
      <c r="S176" t="s">
        <v>32</v>
      </c>
      <c r="T176" t="s">
        <v>33</v>
      </c>
      <c r="U176" t="s">
        <v>1436</v>
      </c>
      <c r="V176" t="s">
        <v>153</v>
      </c>
      <c r="X176" t="s">
        <v>1712</v>
      </c>
      <c r="Z176" t="s">
        <v>1944</v>
      </c>
      <c r="AA176">
        <v>-0.18241667800903999</v>
      </c>
      <c r="AB176">
        <v>-78.478438327571993</v>
      </c>
      <c r="AC176">
        <v>0</v>
      </c>
      <c r="AD176">
        <f>+VLOOKUP(L176,Evalua!$G$2:$H$12,2,0)</f>
        <v>1</v>
      </c>
      <c r="AE176">
        <f>+VLOOKUP(M176,Evalua!$G$2:$H$12,2,0)</f>
        <v>2</v>
      </c>
    </row>
    <row r="177" spans="1:31" hidden="1" x14ac:dyDescent="0.2">
      <c r="A177" s="1" t="s">
        <v>851</v>
      </c>
      <c r="B177" t="s">
        <v>797</v>
      </c>
      <c r="G177" t="s">
        <v>98</v>
      </c>
      <c r="H177" t="s">
        <v>153</v>
      </c>
      <c r="I177" t="s">
        <v>26</v>
      </c>
      <c r="J177" t="s">
        <v>99</v>
      </c>
      <c r="K177" t="s">
        <v>27</v>
      </c>
      <c r="L177" t="s">
        <v>28</v>
      </c>
      <c r="M177" t="s">
        <v>29</v>
      </c>
      <c r="N177" t="str">
        <f>+VLOOKUP(A177,[1]Buscador!$B:$E,4,0)</f>
        <v>El Condado</v>
      </c>
      <c r="O177" t="str">
        <f>+VLOOKUP(A177,[1]Buscador!$B:$F,5,0)</f>
        <v>Pichincha</v>
      </c>
      <c r="P177" t="s">
        <v>31</v>
      </c>
      <c r="S177" t="s">
        <v>32</v>
      </c>
      <c r="T177" t="s">
        <v>33</v>
      </c>
      <c r="U177" t="s">
        <v>797</v>
      </c>
      <c r="V177" t="s">
        <v>153</v>
      </c>
      <c r="W177" t="s">
        <v>852</v>
      </c>
      <c r="X177" t="s">
        <v>853</v>
      </c>
      <c r="Y177" t="s">
        <v>854</v>
      </c>
      <c r="Z177" t="s">
        <v>855</v>
      </c>
      <c r="AA177">
        <v>-0.105223</v>
      </c>
      <c r="AB177">
        <v>-78.500344999999996</v>
      </c>
      <c r="AC177">
        <v>0</v>
      </c>
      <c r="AD177">
        <f>+VLOOKUP(L177,Evalua!$G$2:$H$12,2,0)</f>
        <v>1</v>
      </c>
      <c r="AE177">
        <f>+VLOOKUP(M177,Evalua!$G$2:$H$12,2,0)</f>
        <v>2</v>
      </c>
    </row>
    <row r="178" spans="1:31" hidden="1" x14ac:dyDescent="0.2">
      <c r="A178" s="1" t="s">
        <v>1417</v>
      </c>
      <c r="B178" t="s">
        <v>1418</v>
      </c>
      <c r="D178" t="s">
        <v>2002</v>
      </c>
      <c r="E178" t="s">
        <v>1997</v>
      </c>
      <c r="G178" t="s">
        <v>1419</v>
      </c>
      <c r="H178" t="s">
        <v>153</v>
      </c>
      <c r="I178" t="s">
        <v>26</v>
      </c>
      <c r="J178" t="s">
        <v>2</v>
      </c>
      <c r="K178" t="s">
        <v>46</v>
      </c>
      <c r="L178" t="s">
        <v>28</v>
      </c>
      <c r="M178" t="s">
        <v>29</v>
      </c>
      <c r="N178" t="str">
        <f>+VLOOKUP(A178,[1]Buscador!$B:$E,4,0)</f>
        <v>La Aurora</v>
      </c>
      <c r="O178" t="str">
        <f>+VLOOKUP(A178,[1]Buscador!$B:$F,5,0)</f>
        <v>Guayas</v>
      </c>
      <c r="P178" t="s">
        <v>31</v>
      </c>
      <c r="S178" t="s">
        <v>32</v>
      </c>
      <c r="T178" t="s">
        <v>33</v>
      </c>
      <c r="U178" t="s">
        <v>1251</v>
      </c>
      <c r="V178" t="s">
        <v>153</v>
      </c>
      <c r="W178" t="s">
        <v>1420</v>
      </c>
      <c r="X178" t="s">
        <v>1421</v>
      </c>
      <c r="Y178" t="s">
        <v>1422</v>
      </c>
      <c r="Z178" t="s">
        <v>1423</v>
      </c>
      <c r="AA178">
        <v>-2.0552497306999999</v>
      </c>
      <c r="AB178">
        <v>-79.875205655399995</v>
      </c>
      <c r="AC178">
        <v>0</v>
      </c>
      <c r="AD178">
        <f>+VLOOKUP(L178,Evalua!$G$2:$H$12,2,0)</f>
        <v>1</v>
      </c>
      <c r="AE178">
        <f>+VLOOKUP(M178,Evalua!$G$2:$H$12,2,0)</f>
        <v>2</v>
      </c>
    </row>
    <row r="179" spans="1:31" hidden="1" x14ac:dyDescent="0.2">
      <c r="A179" s="1" t="s">
        <v>1858</v>
      </c>
      <c r="B179" t="s">
        <v>1859</v>
      </c>
      <c r="D179" t="s">
        <v>1996</v>
      </c>
      <c r="E179" t="s">
        <v>1997</v>
      </c>
      <c r="G179" t="s">
        <v>1309</v>
      </c>
      <c r="H179" t="s">
        <v>153</v>
      </c>
      <c r="I179" t="s">
        <v>26</v>
      </c>
      <c r="J179" t="s">
        <v>2</v>
      </c>
      <c r="K179" t="s">
        <v>46</v>
      </c>
      <c r="L179" t="s">
        <v>28</v>
      </c>
      <c r="M179" t="s">
        <v>29</v>
      </c>
      <c r="N179" t="str">
        <f>+VLOOKUP(A179,[1]Buscador!$B:$E,4,0)</f>
        <v>Guayaquil</v>
      </c>
      <c r="O179" t="str">
        <f>+VLOOKUP(A179,[1]Buscador!$B:$F,5,0)</f>
        <v>Guayas</v>
      </c>
      <c r="P179" t="s">
        <v>31</v>
      </c>
      <c r="S179" t="s">
        <v>32</v>
      </c>
      <c r="T179" t="s">
        <v>33</v>
      </c>
      <c r="U179" t="s">
        <v>1549</v>
      </c>
      <c r="V179" t="s">
        <v>153</v>
      </c>
      <c r="X179" t="s">
        <v>1860</v>
      </c>
      <c r="Z179" t="s">
        <v>1964</v>
      </c>
      <c r="AA179">
        <v>-2.0652925839496001</v>
      </c>
      <c r="AB179">
        <v>-79.924221892204002</v>
      </c>
      <c r="AC179">
        <v>0</v>
      </c>
      <c r="AD179">
        <f>+VLOOKUP(L179,Evalua!$G$2:$H$12,2,0)</f>
        <v>1</v>
      </c>
      <c r="AE179">
        <f>+VLOOKUP(M179,Evalua!$G$2:$H$12,2,0)</f>
        <v>2</v>
      </c>
    </row>
    <row r="180" spans="1:31" hidden="1" x14ac:dyDescent="0.2">
      <c r="A180" s="1" t="s">
        <v>482</v>
      </c>
      <c r="B180" t="s">
        <v>429</v>
      </c>
      <c r="D180" t="s">
        <v>1990</v>
      </c>
      <c r="E180" t="s">
        <v>1997</v>
      </c>
      <c r="G180" t="s">
        <v>98</v>
      </c>
      <c r="H180" t="s">
        <v>153</v>
      </c>
      <c r="I180" t="s">
        <v>26</v>
      </c>
      <c r="J180" t="s">
        <v>99</v>
      </c>
      <c r="K180" t="s">
        <v>46</v>
      </c>
      <c r="L180" t="s">
        <v>28</v>
      </c>
      <c r="M180" t="s">
        <v>29</v>
      </c>
      <c r="N180" t="str">
        <f>+VLOOKUP(A180,[1]Buscador!$B:$E,4,0)</f>
        <v>Guayaquil</v>
      </c>
      <c r="O180" t="str">
        <f>+VLOOKUP(A180,[1]Buscador!$B:$F,5,0)</f>
        <v>Guayas</v>
      </c>
      <c r="P180" t="s">
        <v>31</v>
      </c>
      <c r="S180" t="s">
        <v>32</v>
      </c>
      <c r="T180" t="s">
        <v>33</v>
      </c>
      <c r="U180" t="s">
        <v>429</v>
      </c>
      <c r="V180" t="s">
        <v>153</v>
      </c>
      <c r="W180" t="s">
        <v>483</v>
      </c>
      <c r="X180" t="s">
        <v>484</v>
      </c>
      <c r="Y180" t="s">
        <v>485</v>
      </c>
      <c r="Z180" t="s">
        <v>486</v>
      </c>
      <c r="AA180">
        <v>-2.0787363640000001</v>
      </c>
      <c r="AB180">
        <v>-79.896649847899994</v>
      </c>
      <c r="AC180">
        <v>0</v>
      </c>
      <c r="AD180">
        <f>+VLOOKUP(L180,Evalua!$G$2:$H$12,2,0)</f>
        <v>1</v>
      </c>
      <c r="AE180">
        <f>+VLOOKUP(M180,Evalua!$G$2:$H$12,2,0)</f>
        <v>2</v>
      </c>
    </row>
    <row r="181" spans="1:31" hidden="1" x14ac:dyDescent="0.2">
      <c r="A181" s="1" t="s">
        <v>1363</v>
      </c>
      <c r="B181" t="s">
        <v>1364</v>
      </c>
      <c r="G181" t="s">
        <v>1365</v>
      </c>
      <c r="H181" t="s">
        <v>153</v>
      </c>
      <c r="I181" t="s">
        <v>26</v>
      </c>
      <c r="J181" t="s">
        <v>2</v>
      </c>
      <c r="K181" t="s">
        <v>159</v>
      </c>
      <c r="L181" t="s">
        <v>28</v>
      </c>
      <c r="M181" t="s">
        <v>29</v>
      </c>
      <c r="N181" t="str">
        <f>+VLOOKUP(A181,[1]Buscador!$B:$E,4,0)</f>
        <v>Cuenca</v>
      </c>
      <c r="O181" t="str">
        <f>+VLOOKUP(A181,[1]Buscador!$B:$F,5,0)</f>
        <v>Azuay</v>
      </c>
      <c r="P181" t="s">
        <v>31</v>
      </c>
      <c r="S181" t="s">
        <v>32</v>
      </c>
      <c r="T181" t="s">
        <v>33</v>
      </c>
      <c r="U181" t="s">
        <v>161</v>
      </c>
      <c r="V181" t="s">
        <v>153</v>
      </c>
      <c r="W181" t="s">
        <v>298</v>
      </c>
      <c r="X181" t="s">
        <v>1366</v>
      </c>
      <c r="Y181" t="s">
        <v>1367</v>
      </c>
      <c r="Z181" t="s">
        <v>1368</v>
      </c>
      <c r="AA181">
        <v>-2.905424</v>
      </c>
      <c r="AB181">
        <v>-79.003303000000002</v>
      </c>
      <c r="AC181">
        <v>0</v>
      </c>
      <c r="AD181">
        <f>+VLOOKUP(L181,Evalua!$G$2:$H$12,2,0)</f>
        <v>1</v>
      </c>
      <c r="AE181">
        <f>+VLOOKUP(M181,Evalua!$G$2:$H$12,2,0)</f>
        <v>2</v>
      </c>
    </row>
    <row r="182" spans="1:31" hidden="1" x14ac:dyDescent="0.2">
      <c r="A182" s="1" t="s">
        <v>396</v>
      </c>
      <c r="B182" t="s">
        <v>340</v>
      </c>
      <c r="E182" s="3" t="s">
        <v>2006</v>
      </c>
      <c r="G182" t="s">
        <v>98</v>
      </c>
      <c r="H182" t="s">
        <v>153</v>
      </c>
      <c r="I182" t="s">
        <v>26</v>
      </c>
      <c r="J182" t="s">
        <v>99</v>
      </c>
      <c r="K182" t="s">
        <v>46</v>
      </c>
      <c r="L182" t="s">
        <v>28</v>
      </c>
      <c r="M182" t="s">
        <v>29</v>
      </c>
      <c r="N182" t="str">
        <f>+VLOOKUP(A182,[1]Buscador!$B:$E,4,0)</f>
        <v>La Aurora</v>
      </c>
      <c r="O182" t="str">
        <f>+VLOOKUP(A182,[1]Buscador!$B:$F,5,0)</f>
        <v>Guayas</v>
      </c>
      <c r="P182" t="s">
        <v>31</v>
      </c>
      <c r="S182" t="s">
        <v>32</v>
      </c>
      <c r="T182" t="s">
        <v>33</v>
      </c>
      <c r="U182" t="s">
        <v>340</v>
      </c>
      <c r="V182" t="s">
        <v>153</v>
      </c>
      <c r="W182" t="s">
        <v>397</v>
      </c>
      <c r="X182" t="s">
        <v>398</v>
      </c>
      <c r="Y182" t="s">
        <v>399</v>
      </c>
      <c r="Z182" t="s">
        <v>400</v>
      </c>
      <c r="AA182">
        <v>-2.0491000000000001</v>
      </c>
      <c r="AB182">
        <v>-79.889420999999999</v>
      </c>
      <c r="AC182">
        <v>0</v>
      </c>
      <c r="AD182">
        <f>+VLOOKUP(L182,Evalua!$G$2:$H$12,2,0)</f>
        <v>1</v>
      </c>
      <c r="AE182">
        <f>+VLOOKUP(M182,Evalua!$G$2:$H$12,2,0)</f>
        <v>2</v>
      </c>
    </row>
    <row r="183" spans="1:31" hidden="1" x14ac:dyDescent="0.2">
      <c r="A183" s="1" t="s">
        <v>1619</v>
      </c>
      <c r="B183" t="s">
        <v>1620</v>
      </c>
      <c r="D183" t="s">
        <v>2002</v>
      </c>
      <c r="E183" t="s">
        <v>2010</v>
      </c>
      <c r="G183" t="s">
        <v>1617</v>
      </c>
      <c r="H183" t="s">
        <v>153</v>
      </c>
      <c r="I183" t="s">
        <v>26</v>
      </c>
      <c r="J183" t="s">
        <v>2</v>
      </c>
      <c r="K183" t="s">
        <v>46</v>
      </c>
      <c r="L183" t="s">
        <v>28</v>
      </c>
      <c r="M183" t="s">
        <v>29</v>
      </c>
      <c r="N183" t="str">
        <f>+VLOOKUP(A183,[1]Buscador!$B:$E,4,0)</f>
        <v>Guayaquil</v>
      </c>
      <c r="O183" t="str">
        <f>+VLOOKUP(A183,[1]Buscador!$B:$F,5,0)</f>
        <v>Guayas</v>
      </c>
      <c r="P183" t="s">
        <v>31</v>
      </c>
      <c r="S183" t="s">
        <v>32</v>
      </c>
      <c r="T183" t="s">
        <v>33</v>
      </c>
      <c r="U183" t="s">
        <v>1360</v>
      </c>
      <c r="V183" t="s">
        <v>153</v>
      </c>
      <c r="X183" t="s">
        <v>1621</v>
      </c>
      <c r="Z183" t="s">
        <v>1931</v>
      </c>
      <c r="AA183">
        <v>-2.1093123468677999</v>
      </c>
      <c r="AB183">
        <v>-79.948822486490997</v>
      </c>
      <c r="AC183">
        <v>0</v>
      </c>
      <c r="AD183">
        <f>+VLOOKUP(L183,Evalua!$G$2:$H$12,2,0)</f>
        <v>1</v>
      </c>
      <c r="AE183">
        <f>+VLOOKUP(M183,Evalua!$G$2:$H$12,2,0)</f>
        <v>2</v>
      </c>
    </row>
    <row r="184" spans="1:31" hidden="1" x14ac:dyDescent="0.2">
      <c r="A184" s="1" t="s">
        <v>1734</v>
      </c>
      <c r="B184" t="s">
        <v>1735</v>
      </c>
      <c r="G184" t="s">
        <v>1732</v>
      </c>
      <c r="H184" t="s">
        <v>153</v>
      </c>
      <c r="I184" t="s">
        <v>26</v>
      </c>
      <c r="J184" t="s">
        <v>2</v>
      </c>
      <c r="K184" t="s">
        <v>27</v>
      </c>
      <c r="L184" t="s">
        <v>28</v>
      </c>
      <c r="M184" t="s">
        <v>29</v>
      </c>
      <c r="N184" t="str">
        <f>+VLOOKUP(A184,[1]Buscador!$B:$E,4,0)</f>
        <v>Quito</v>
      </c>
      <c r="O184" t="str">
        <f>+VLOOKUP(A184,[1]Buscador!$B:$F,5,0)</f>
        <v>Pichincha</v>
      </c>
      <c r="P184" t="s">
        <v>31</v>
      </c>
      <c r="S184" t="s">
        <v>32</v>
      </c>
      <c r="T184" t="s">
        <v>33</v>
      </c>
      <c r="U184" t="s">
        <v>1454</v>
      </c>
      <c r="V184" t="s">
        <v>153</v>
      </c>
      <c r="X184" t="s">
        <v>1736</v>
      </c>
      <c r="Z184" t="s">
        <v>1948</v>
      </c>
      <c r="AA184">
        <v>-0.28519660716465001</v>
      </c>
      <c r="AB184">
        <v>-78.543643270809</v>
      </c>
      <c r="AC184">
        <v>0</v>
      </c>
      <c r="AD184">
        <f>+VLOOKUP(L184,Evalua!$G$2:$H$12,2,0)</f>
        <v>1</v>
      </c>
      <c r="AE184">
        <f>+VLOOKUP(M184,Evalua!$G$2:$H$12,2,0)</f>
        <v>2</v>
      </c>
    </row>
    <row r="185" spans="1:31" hidden="1" x14ac:dyDescent="0.2">
      <c r="A185" s="1" t="s">
        <v>369</v>
      </c>
      <c r="B185" t="s">
        <v>315</v>
      </c>
      <c r="D185" t="s">
        <v>2003</v>
      </c>
      <c r="E185" t="s">
        <v>1991</v>
      </c>
      <c r="G185" t="s">
        <v>98</v>
      </c>
      <c r="H185" t="s">
        <v>1970</v>
      </c>
      <c r="I185" t="s">
        <v>26</v>
      </c>
      <c r="J185" t="s">
        <v>99</v>
      </c>
      <c r="K185" t="s">
        <v>170</v>
      </c>
      <c r="L185" t="s">
        <v>123</v>
      </c>
      <c r="M185" t="s">
        <v>160</v>
      </c>
      <c r="N185" t="str">
        <f>+VLOOKUP(A185,[1]Buscador!$B:$E,4,0)</f>
        <v>Portoviejo</v>
      </c>
      <c r="O185" t="str">
        <f>+VLOOKUP(A185,[1]Buscador!$B:$F,5,0)</f>
        <v>Manabí</v>
      </c>
      <c r="P185" t="s">
        <v>153</v>
      </c>
      <c r="S185" t="s">
        <v>370</v>
      </c>
      <c r="T185" t="s">
        <v>126</v>
      </c>
      <c r="U185" t="s">
        <v>315</v>
      </c>
      <c r="V185" t="s">
        <v>153</v>
      </c>
      <c r="W185" t="s">
        <v>371</v>
      </c>
      <c r="X185" t="s">
        <v>372</v>
      </c>
      <c r="Y185" t="s">
        <v>373</v>
      </c>
      <c r="Z185" t="s">
        <v>374</v>
      </c>
      <c r="AA185">
        <v>-1.051107</v>
      </c>
      <c r="AB185">
        <v>-80.453971999999993</v>
      </c>
      <c r="AC185">
        <v>0</v>
      </c>
      <c r="AD185">
        <f>+VLOOKUP(L185,Evalua!$G$2:$H$12,2,0)</f>
        <v>4</v>
      </c>
      <c r="AE185">
        <f>+VLOOKUP(M185,Evalua!$G$2:$H$12,2,0)</f>
        <v>1</v>
      </c>
    </row>
    <row r="186" spans="1:31" hidden="1" x14ac:dyDescent="0.2">
      <c r="A186" s="1" t="s">
        <v>703</v>
      </c>
      <c r="B186" t="s">
        <v>649</v>
      </c>
      <c r="E186" s="3" t="s">
        <v>2006</v>
      </c>
      <c r="G186" t="s">
        <v>98</v>
      </c>
      <c r="H186" t="s">
        <v>153</v>
      </c>
      <c r="I186" t="s">
        <v>26</v>
      </c>
      <c r="J186" t="s">
        <v>99</v>
      </c>
      <c r="K186" t="s">
        <v>46</v>
      </c>
      <c r="L186" t="s">
        <v>28</v>
      </c>
      <c r="M186" t="s">
        <v>29</v>
      </c>
      <c r="N186" t="str">
        <f>+VLOOKUP(A186,[1]Buscador!$B:$E,4,0)</f>
        <v>Samborondón</v>
      </c>
      <c r="O186" t="str">
        <f>+VLOOKUP(A186,[1]Buscador!$B:$F,5,0)</f>
        <v>Guayas</v>
      </c>
      <c r="P186" t="s">
        <v>31</v>
      </c>
      <c r="S186" t="s">
        <v>32</v>
      </c>
      <c r="T186" t="s">
        <v>33</v>
      </c>
      <c r="U186" t="s">
        <v>649</v>
      </c>
      <c r="V186" t="s">
        <v>153</v>
      </c>
      <c r="W186" t="s">
        <v>704</v>
      </c>
      <c r="X186" t="s">
        <v>705</v>
      </c>
      <c r="Y186" t="s">
        <v>706</v>
      </c>
      <c r="Z186" t="s">
        <v>707</v>
      </c>
      <c r="AA186">
        <v>-2.0724623660999999</v>
      </c>
      <c r="AB186">
        <v>-79.872272470599995</v>
      </c>
      <c r="AC186">
        <v>0</v>
      </c>
      <c r="AD186">
        <f>+VLOOKUP(L186,Evalua!$G$2:$H$12,2,0)</f>
        <v>1</v>
      </c>
      <c r="AE186">
        <f>+VLOOKUP(M186,Evalua!$G$2:$H$12,2,0)</f>
        <v>2</v>
      </c>
    </row>
    <row r="187" spans="1:31" hidden="1" x14ac:dyDescent="0.2">
      <c r="A187" s="1" t="s">
        <v>260</v>
      </c>
      <c r="B187" t="s">
        <v>201</v>
      </c>
      <c r="G187" t="s">
        <v>98</v>
      </c>
      <c r="H187" t="s">
        <v>153</v>
      </c>
      <c r="I187" t="s">
        <v>26</v>
      </c>
      <c r="J187" t="s">
        <v>99</v>
      </c>
      <c r="K187" t="s">
        <v>27</v>
      </c>
      <c r="L187" t="s">
        <v>28</v>
      </c>
      <c r="M187" t="s">
        <v>29</v>
      </c>
      <c r="N187" t="str">
        <f>+VLOOKUP(A187,[1]Buscador!$B:$E,4,0)</f>
        <v>Quito</v>
      </c>
      <c r="O187" t="str">
        <f>+VLOOKUP(A187,[1]Buscador!$B:$F,5,0)</f>
        <v>Pichincha</v>
      </c>
      <c r="P187" t="s">
        <v>31</v>
      </c>
      <c r="S187" t="s">
        <v>32</v>
      </c>
      <c r="T187" t="s">
        <v>33</v>
      </c>
      <c r="U187" t="s">
        <v>201</v>
      </c>
      <c r="V187" t="s">
        <v>153</v>
      </c>
      <c r="W187" t="s">
        <v>261</v>
      </c>
      <c r="X187" t="s">
        <v>262</v>
      </c>
      <c r="Y187" t="s">
        <v>263</v>
      </c>
      <c r="Z187" t="s">
        <v>264</v>
      </c>
      <c r="AA187">
        <v>-0.3109935861</v>
      </c>
      <c r="AB187">
        <v>-78.564567968999995</v>
      </c>
      <c r="AC187">
        <v>0</v>
      </c>
      <c r="AD187">
        <f>+VLOOKUP(L187,Evalua!$G$2:$H$12,2,0)</f>
        <v>1</v>
      </c>
      <c r="AE187">
        <f>+VLOOKUP(M187,Evalua!$G$2:$H$12,2,0)</f>
        <v>2</v>
      </c>
    </row>
    <row r="188" spans="1:31" hidden="1" x14ac:dyDescent="0.2">
      <c r="A188" s="1" t="s">
        <v>1217</v>
      </c>
      <c r="B188" t="s">
        <v>1163</v>
      </c>
      <c r="D188" t="s">
        <v>1990</v>
      </c>
      <c r="E188" t="s">
        <v>2001</v>
      </c>
      <c r="G188" t="s">
        <v>98</v>
      </c>
      <c r="H188" t="s">
        <v>153</v>
      </c>
      <c r="I188" t="s">
        <v>26</v>
      </c>
      <c r="J188" t="s">
        <v>99</v>
      </c>
      <c r="K188" t="s">
        <v>159</v>
      </c>
      <c r="L188" t="s">
        <v>28</v>
      </c>
      <c r="M188" t="s">
        <v>29</v>
      </c>
      <c r="N188" t="str">
        <f>+VLOOKUP(A188,[1]Buscador!$B:$E,4,0)</f>
        <v>Cuenca</v>
      </c>
      <c r="O188" t="str">
        <f>+VLOOKUP(A188,[1]Buscador!$B:$F,5,0)</f>
        <v>Azuay</v>
      </c>
      <c r="P188" t="s">
        <v>31</v>
      </c>
      <c r="S188" t="s">
        <v>32</v>
      </c>
      <c r="T188" t="s">
        <v>33</v>
      </c>
      <c r="U188" t="s">
        <v>1163</v>
      </c>
      <c r="V188" t="s">
        <v>153</v>
      </c>
      <c r="W188" t="s">
        <v>1218</v>
      </c>
      <c r="X188" t="s">
        <v>1219</v>
      </c>
      <c r="Y188" t="s">
        <v>1220</v>
      </c>
      <c r="Z188" t="s">
        <v>1221</v>
      </c>
      <c r="AA188">
        <v>-2.8847833115000001</v>
      </c>
      <c r="AB188">
        <v>-79.005802007300005</v>
      </c>
      <c r="AC188">
        <v>0</v>
      </c>
      <c r="AD188">
        <f>+VLOOKUP(L188,Evalua!$G$2:$H$12,2,0)</f>
        <v>1</v>
      </c>
      <c r="AE188">
        <f>+VLOOKUP(M188,Evalua!$G$2:$H$12,2,0)</f>
        <v>2</v>
      </c>
    </row>
    <row r="189" spans="1:31" hidden="1" x14ac:dyDescent="0.2">
      <c r="A189" s="1" t="s">
        <v>1307</v>
      </c>
      <c r="B189" t="s">
        <v>1308</v>
      </c>
      <c r="D189" t="s">
        <v>2002</v>
      </c>
      <c r="E189" t="s">
        <v>2001</v>
      </c>
      <c r="G189" t="s">
        <v>1309</v>
      </c>
      <c r="H189" t="s">
        <v>153</v>
      </c>
      <c r="I189" t="s">
        <v>26</v>
      </c>
      <c r="J189" t="s">
        <v>2</v>
      </c>
      <c r="K189" t="s">
        <v>46</v>
      </c>
      <c r="L189" t="s">
        <v>28</v>
      </c>
      <c r="M189" t="s">
        <v>29</v>
      </c>
      <c r="N189" t="str">
        <f>+VLOOKUP(A189,[1]Buscador!$B:$E,4,0)</f>
        <v>Guayaquil</v>
      </c>
      <c r="O189" t="str">
        <f>+VLOOKUP(A189,[1]Buscador!$B:$F,5,0)</f>
        <v>Guayas</v>
      </c>
      <c r="P189" t="s">
        <v>31</v>
      </c>
      <c r="S189" t="s">
        <v>32</v>
      </c>
      <c r="T189" t="s">
        <v>33</v>
      </c>
      <c r="U189" t="s">
        <v>1208</v>
      </c>
      <c r="V189" t="s">
        <v>153</v>
      </c>
      <c r="W189" t="s">
        <v>1310</v>
      </c>
      <c r="X189" t="s">
        <v>1311</v>
      </c>
      <c r="Y189" t="s">
        <v>1312</v>
      </c>
      <c r="Z189" t="s">
        <v>1313</v>
      </c>
      <c r="AA189">
        <v>-2.1901574203999998</v>
      </c>
      <c r="AB189">
        <v>-79.879891601500006</v>
      </c>
      <c r="AC189">
        <v>0</v>
      </c>
      <c r="AD189">
        <f>+VLOOKUP(L189,Evalua!$G$2:$H$12,2,0)</f>
        <v>1</v>
      </c>
      <c r="AE189">
        <f>+VLOOKUP(M189,Evalua!$G$2:$H$12,2,0)</f>
        <v>2</v>
      </c>
    </row>
    <row r="190" spans="1:31" hidden="1" x14ac:dyDescent="0.2">
      <c r="A190" s="1" t="s">
        <v>218</v>
      </c>
      <c r="B190" t="s">
        <v>147</v>
      </c>
      <c r="E190" s="3" t="s">
        <v>2006</v>
      </c>
      <c r="G190" t="s">
        <v>98</v>
      </c>
      <c r="H190" t="s">
        <v>153</v>
      </c>
      <c r="I190" t="s">
        <v>26</v>
      </c>
      <c r="J190" t="s">
        <v>99</v>
      </c>
      <c r="K190" t="s">
        <v>46</v>
      </c>
      <c r="L190" t="s">
        <v>28</v>
      </c>
      <c r="M190" t="s">
        <v>29</v>
      </c>
      <c r="N190" t="str">
        <f>+VLOOKUP(A190,[1]Buscador!$B:$E,4,0)</f>
        <v>Samborondón</v>
      </c>
      <c r="O190" t="str">
        <f>+VLOOKUP(A190,[1]Buscador!$B:$F,5,0)</f>
        <v>Guayas</v>
      </c>
      <c r="P190" t="s">
        <v>31</v>
      </c>
      <c r="S190" t="s">
        <v>32</v>
      </c>
      <c r="T190" t="s">
        <v>33</v>
      </c>
      <c r="U190" t="s">
        <v>147</v>
      </c>
      <c r="V190" t="s">
        <v>153</v>
      </c>
      <c r="W190" t="s">
        <v>219</v>
      </c>
      <c r="X190" t="s">
        <v>220</v>
      </c>
      <c r="Y190" t="s">
        <v>221</v>
      </c>
      <c r="Z190" t="s">
        <v>222</v>
      </c>
      <c r="AA190">
        <v>-2.1321674385999998</v>
      </c>
      <c r="AB190">
        <v>-79.863631417199997</v>
      </c>
      <c r="AC190">
        <v>0</v>
      </c>
      <c r="AD190">
        <f>+VLOOKUP(L190,Evalua!$G$2:$H$12,2,0)</f>
        <v>1</v>
      </c>
      <c r="AE190">
        <f>+VLOOKUP(M190,Evalua!$G$2:$H$12,2,0)</f>
        <v>2</v>
      </c>
    </row>
    <row r="191" spans="1:31" hidden="1" x14ac:dyDescent="0.2">
      <c r="A191" s="1" t="s">
        <v>401</v>
      </c>
      <c r="B191" t="s">
        <v>345</v>
      </c>
      <c r="E191" s="3" t="s">
        <v>2009</v>
      </c>
      <c r="G191" t="s">
        <v>98</v>
      </c>
      <c r="H191" t="s">
        <v>153</v>
      </c>
      <c r="I191" t="s">
        <v>26</v>
      </c>
      <c r="J191" t="s">
        <v>99</v>
      </c>
      <c r="K191" t="s">
        <v>46</v>
      </c>
      <c r="L191" t="s">
        <v>81</v>
      </c>
      <c r="M191" t="s">
        <v>234</v>
      </c>
      <c r="N191" t="str">
        <f>+VLOOKUP(A191,[1]Buscador!$B:$E,4,0)</f>
        <v>Guayaquil</v>
      </c>
      <c r="O191" t="str">
        <f>+VLOOKUP(A191,[1]Buscador!$B:$F,5,0)</f>
        <v>Guayas</v>
      </c>
      <c r="P191" t="s">
        <v>31</v>
      </c>
      <c r="S191" t="s">
        <v>235</v>
      </c>
      <c r="T191" t="s">
        <v>33</v>
      </c>
      <c r="U191" t="s">
        <v>345</v>
      </c>
      <c r="V191" t="s">
        <v>153</v>
      </c>
      <c r="W191" t="s">
        <v>402</v>
      </c>
      <c r="X191" t="s">
        <v>403</v>
      </c>
      <c r="Y191" t="s">
        <v>404</v>
      </c>
      <c r="Z191" t="s">
        <v>405</v>
      </c>
      <c r="AA191">
        <v>-2.1069115318999998</v>
      </c>
      <c r="AB191">
        <v>-79.931823881300005</v>
      </c>
      <c r="AC191">
        <v>0</v>
      </c>
      <c r="AD191">
        <f>+VLOOKUP(L191,Evalua!$G$2:$H$12,2,0)</f>
        <v>3</v>
      </c>
      <c r="AE191">
        <f>+VLOOKUP(M191,Evalua!$G$2:$H$12,2,0)</f>
        <v>3</v>
      </c>
    </row>
    <row r="192" spans="1:31" hidden="1" x14ac:dyDescent="0.2">
      <c r="A192" s="1" t="s">
        <v>1202</v>
      </c>
      <c r="B192" t="s">
        <v>1148</v>
      </c>
      <c r="D192" t="s">
        <v>1990</v>
      </c>
      <c r="E192" t="s">
        <v>1997</v>
      </c>
      <c r="G192" t="s">
        <v>98</v>
      </c>
      <c r="H192" t="s">
        <v>153</v>
      </c>
      <c r="I192" t="s">
        <v>26</v>
      </c>
      <c r="J192" t="s">
        <v>99</v>
      </c>
      <c r="K192" t="s">
        <v>46</v>
      </c>
      <c r="L192" t="s">
        <v>28</v>
      </c>
      <c r="M192" t="s">
        <v>29</v>
      </c>
      <c r="N192" t="str">
        <f>+VLOOKUP(A192,[1]Buscador!$B:$E,4,0)</f>
        <v>Samborondón</v>
      </c>
      <c r="O192" t="str">
        <f>+VLOOKUP(A192,[1]Buscador!$B:$F,5,0)</f>
        <v>Guayas</v>
      </c>
      <c r="P192" t="s">
        <v>31</v>
      </c>
      <c r="S192" t="s">
        <v>32</v>
      </c>
      <c r="T192" t="s">
        <v>33</v>
      </c>
      <c r="U192" t="s">
        <v>1148</v>
      </c>
      <c r="V192" t="s">
        <v>153</v>
      </c>
      <c r="W192" t="s">
        <v>1203</v>
      </c>
      <c r="X192" t="s">
        <v>1204</v>
      </c>
      <c r="Y192" t="s">
        <v>1205</v>
      </c>
      <c r="Z192" t="s">
        <v>1206</v>
      </c>
      <c r="AA192">
        <v>-2.1331494933999999</v>
      </c>
      <c r="AB192">
        <v>-79.865817704799994</v>
      </c>
      <c r="AC192">
        <v>0</v>
      </c>
      <c r="AD192">
        <f>+VLOOKUP(L192,Evalua!$G$2:$H$12,2,0)</f>
        <v>1</v>
      </c>
      <c r="AE192">
        <f>+VLOOKUP(M192,Evalua!$G$2:$H$12,2,0)</f>
        <v>2</v>
      </c>
    </row>
    <row r="193" spans="1:31" hidden="1" x14ac:dyDescent="0.2">
      <c r="A193" s="1" t="s">
        <v>723</v>
      </c>
      <c r="B193" t="s">
        <v>669</v>
      </c>
      <c r="E193" t="s">
        <v>1997</v>
      </c>
      <c r="G193" t="s">
        <v>98</v>
      </c>
      <c r="H193" t="s">
        <v>153</v>
      </c>
      <c r="I193" t="s">
        <v>26</v>
      </c>
      <c r="J193" t="s">
        <v>99</v>
      </c>
      <c r="K193" t="s">
        <v>46</v>
      </c>
      <c r="L193" t="s">
        <v>28</v>
      </c>
      <c r="M193" t="s">
        <v>29</v>
      </c>
      <c r="N193" t="str">
        <f>+VLOOKUP(A193,[1]Buscador!$B:$E,4,0)</f>
        <v>Daule</v>
      </c>
      <c r="O193" t="str">
        <f>+VLOOKUP(A193,[1]Buscador!$B:$F,5,0)</f>
        <v>Guayas</v>
      </c>
      <c r="P193" t="s">
        <v>31</v>
      </c>
      <c r="S193" t="s">
        <v>32</v>
      </c>
      <c r="T193" t="s">
        <v>33</v>
      </c>
      <c r="U193" t="s">
        <v>669</v>
      </c>
      <c r="V193" t="s">
        <v>153</v>
      </c>
      <c r="W193" t="s">
        <v>724</v>
      </c>
      <c r="X193" t="s">
        <v>725</v>
      </c>
      <c r="Y193" t="s">
        <v>726</v>
      </c>
      <c r="Z193" t="s">
        <v>727</v>
      </c>
      <c r="AA193">
        <v>-1.8546236143999999</v>
      </c>
      <c r="AB193">
        <v>-79.975836109300005</v>
      </c>
      <c r="AC193">
        <v>0</v>
      </c>
      <c r="AD193">
        <f>+VLOOKUP(L193,Evalua!$G$2:$H$12,2,0)</f>
        <v>1</v>
      </c>
      <c r="AE193">
        <f>+VLOOKUP(M193,Evalua!$G$2:$H$12,2,0)</f>
        <v>2</v>
      </c>
    </row>
    <row r="194" spans="1:31" hidden="1" x14ac:dyDescent="0.2">
      <c r="A194" s="1" t="s">
        <v>1578</v>
      </c>
      <c r="B194" t="s">
        <v>1579</v>
      </c>
      <c r="D194" t="s">
        <v>1995</v>
      </c>
      <c r="E194" t="s">
        <v>1997</v>
      </c>
      <c r="G194" t="s">
        <v>1580</v>
      </c>
      <c r="H194" t="s">
        <v>153</v>
      </c>
      <c r="I194" t="s">
        <v>26</v>
      </c>
      <c r="J194" t="s">
        <v>2</v>
      </c>
      <c r="K194" t="s">
        <v>206</v>
      </c>
      <c r="L194" t="s">
        <v>1392</v>
      </c>
      <c r="M194" t="s">
        <v>234</v>
      </c>
      <c r="N194" t="str">
        <f>+VLOOKUP(A194,[1]Buscador!$B:$E,4,0)</f>
        <v>Machala</v>
      </c>
      <c r="O194" t="str">
        <f>+VLOOKUP(A194,[1]Buscador!$B:$F,5,0)</f>
        <v>El Oro</v>
      </c>
      <c r="P194" t="s">
        <v>31</v>
      </c>
      <c r="S194" t="s">
        <v>1581</v>
      </c>
      <c r="T194" t="s">
        <v>730</v>
      </c>
      <c r="U194" t="s">
        <v>207</v>
      </c>
      <c r="V194" t="s">
        <v>153</v>
      </c>
      <c r="X194" t="s">
        <v>1582</v>
      </c>
      <c r="Z194" t="s">
        <v>1927</v>
      </c>
      <c r="AA194">
        <v>-3.2791119581546</v>
      </c>
      <c r="AB194">
        <v>-79.933491846032993</v>
      </c>
      <c r="AC194">
        <v>0</v>
      </c>
      <c r="AD194">
        <f>+VLOOKUP(L194,Evalua!$G$2:$H$12,2,0)</f>
        <v>2</v>
      </c>
      <c r="AE194">
        <f>+VLOOKUP(M194,Evalua!$G$2:$H$12,2,0)</f>
        <v>3</v>
      </c>
    </row>
    <row r="195" spans="1:31" hidden="1" x14ac:dyDescent="0.2">
      <c r="A195" s="1" t="s">
        <v>375</v>
      </c>
      <c r="B195" t="s">
        <v>320</v>
      </c>
      <c r="E195" s="3" t="s">
        <v>2001</v>
      </c>
      <c r="G195" t="s">
        <v>98</v>
      </c>
      <c r="H195" t="s">
        <v>153</v>
      </c>
      <c r="I195" t="s">
        <v>26</v>
      </c>
      <c r="J195" t="s">
        <v>99</v>
      </c>
      <c r="K195" t="s">
        <v>46</v>
      </c>
      <c r="L195" t="s">
        <v>81</v>
      </c>
      <c r="M195" t="s">
        <v>234</v>
      </c>
      <c r="N195" t="str">
        <f>+VLOOKUP(A195,[1]Buscador!$B:$E,4,0)</f>
        <v>Guayaquil</v>
      </c>
      <c r="O195" t="str">
        <f>+VLOOKUP(A195,[1]Buscador!$B:$F,5,0)</f>
        <v>Guayas</v>
      </c>
      <c r="P195" t="s">
        <v>31</v>
      </c>
      <c r="S195" t="s">
        <v>235</v>
      </c>
      <c r="T195" t="s">
        <v>33</v>
      </c>
      <c r="U195" t="s">
        <v>320</v>
      </c>
      <c r="V195" t="s">
        <v>153</v>
      </c>
      <c r="W195" t="s">
        <v>376</v>
      </c>
      <c r="X195" t="s">
        <v>377</v>
      </c>
      <c r="Y195" t="s">
        <v>378</v>
      </c>
      <c r="Z195" t="s">
        <v>379</v>
      </c>
      <c r="AA195">
        <v>-2.1302340000000002</v>
      </c>
      <c r="AB195">
        <v>-79.932355000000001</v>
      </c>
      <c r="AC195">
        <v>0</v>
      </c>
      <c r="AD195">
        <f>+VLOOKUP(L195,Evalua!$G$2:$H$12,2,0)</f>
        <v>3</v>
      </c>
      <c r="AE195">
        <f>+VLOOKUP(M195,Evalua!$G$2:$H$12,2,0)</f>
        <v>3</v>
      </c>
    </row>
    <row r="196" spans="1:31" hidden="1" x14ac:dyDescent="0.2">
      <c r="A196" s="1" t="s">
        <v>942</v>
      </c>
      <c r="B196" t="s">
        <v>887</v>
      </c>
      <c r="D196" t="s">
        <v>2014</v>
      </c>
      <c r="E196" s="3" t="s">
        <v>2000</v>
      </c>
      <c r="G196" t="s">
        <v>98</v>
      </c>
      <c r="H196" t="s">
        <v>153</v>
      </c>
      <c r="I196" t="s">
        <v>26</v>
      </c>
      <c r="J196" t="s">
        <v>99</v>
      </c>
      <c r="K196" t="s">
        <v>46</v>
      </c>
      <c r="L196" t="s">
        <v>28</v>
      </c>
      <c r="M196" t="s">
        <v>29</v>
      </c>
      <c r="N196" t="str">
        <f>+VLOOKUP(A196,[1]Buscador!$B:$E,4,0)</f>
        <v>Guayaquil</v>
      </c>
      <c r="O196" t="str">
        <f>+VLOOKUP(A196,[1]Buscador!$B:$F,5,0)</f>
        <v>Guayas</v>
      </c>
      <c r="P196" t="s">
        <v>153</v>
      </c>
      <c r="S196" t="s">
        <v>32</v>
      </c>
      <c r="T196" t="s">
        <v>33</v>
      </c>
      <c r="U196" t="s">
        <v>887</v>
      </c>
      <c r="V196" t="s">
        <v>153</v>
      </c>
      <c r="W196" t="s">
        <v>943</v>
      </c>
      <c r="X196" t="s">
        <v>944</v>
      </c>
      <c r="Y196" t="s">
        <v>945</v>
      </c>
      <c r="Z196" t="s">
        <v>946</v>
      </c>
      <c r="AA196">
        <v>-2.1914940000000001</v>
      </c>
      <c r="AB196">
        <v>-79.882835999999998</v>
      </c>
      <c r="AC196">
        <v>0</v>
      </c>
      <c r="AD196">
        <f>+VLOOKUP(L196,Evalua!$G$2:$H$12,2,0)</f>
        <v>1</v>
      </c>
      <c r="AE196">
        <f>+VLOOKUP(M196,Evalua!$G$2:$H$12,2,0)</f>
        <v>2</v>
      </c>
    </row>
    <row r="197" spans="1:31" hidden="1" x14ac:dyDescent="0.2">
      <c r="A197" s="1" t="s">
        <v>1314</v>
      </c>
      <c r="B197" t="s">
        <v>1315</v>
      </c>
      <c r="D197" t="s">
        <v>2002</v>
      </c>
      <c r="E197" t="s">
        <v>2001</v>
      </c>
      <c r="G197" t="s">
        <v>1309</v>
      </c>
      <c r="H197" t="s">
        <v>153</v>
      </c>
      <c r="I197" t="s">
        <v>26</v>
      </c>
      <c r="J197" t="s">
        <v>2</v>
      </c>
      <c r="K197" t="s">
        <v>46</v>
      </c>
      <c r="L197" t="s">
        <v>28</v>
      </c>
      <c r="M197" t="s">
        <v>29</v>
      </c>
      <c r="N197" t="str">
        <f>+VLOOKUP(A197,[1]Buscador!$B:$E,4,0)</f>
        <v>Guayaquil</v>
      </c>
      <c r="O197" t="str">
        <f>+VLOOKUP(A197,[1]Buscador!$B:$F,5,0)</f>
        <v>Guayas</v>
      </c>
      <c r="P197" t="s">
        <v>31</v>
      </c>
      <c r="S197" t="s">
        <v>32</v>
      </c>
      <c r="T197" t="s">
        <v>33</v>
      </c>
      <c r="U197" t="s">
        <v>1208</v>
      </c>
      <c r="V197" t="s">
        <v>153</v>
      </c>
      <c r="W197" t="s">
        <v>1316</v>
      </c>
      <c r="X197" t="s">
        <v>1317</v>
      </c>
      <c r="Y197" t="s">
        <v>1318</v>
      </c>
      <c r="Z197" t="s">
        <v>1313</v>
      </c>
      <c r="AA197">
        <v>-2.1901574203999998</v>
      </c>
      <c r="AB197">
        <v>-79.879891601500006</v>
      </c>
      <c r="AC197">
        <v>0</v>
      </c>
      <c r="AD197">
        <f>+VLOOKUP(L197,Evalua!$G$2:$H$12,2,0)</f>
        <v>1</v>
      </c>
      <c r="AE197">
        <f>+VLOOKUP(M197,Evalua!$G$2:$H$12,2,0)</f>
        <v>2</v>
      </c>
    </row>
    <row r="198" spans="1:31" hidden="1" x14ac:dyDescent="0.2">
      <c r="A198" s="1" t="s">
        <v>740</v>
      </c>
      <c r="B198" t="s">
        <v>685</v>
      </c>
      <c r="E198" s="3" t="s">
        <v>1998</v>
      </c>
      <c r="G198" t="s">
        <v>98</v>
      </c>
      <c r="H198" t="s">
        <v>153</v>
      </c>
      <c r="I198" t="s">
        <v>26</v>
      </c>
      <c r="J198" t="s">
        <v>99</v>
      </c>
      <c r="K198" t="s">
        <v>46</v>
      </c>
      <c r="L198" t="s">
        <v>28</v>
      </c>
      <c r="M198" t="s">
        <v>29</v>
      </c>
      <c r="N198" t="str">
        <f>+VLOOKUP(A198,[1]Buscador!$B:$E,4,0)</f>
        <v>Guayaquil</v>
      </c>
      <c r="O198" t="str">
        <f>+VLOOKUP(A198,[1]Buscador!$B:$F,5,0)</f>
        <v>Guayas</v>
      </c>
      <c r="P198" t="s">
        <v>153</v>
      </c>
      <c r="S198" t="s">
        <v>32</v>
      </c>
      <c r="T198" t="s">
        <v>33</v>
      </c>
      <c r="U198" t="s">
        <v>685</v>
      </c>
      <c r="V198" t="s">
        <v>153</v>
      </c>
      <c r="W198" t="s">
        <v>741</v>
      </c>
      <c r="X198" t="s">
        <v>742</v>
      </c>
      <c r="Y198" t="s">
        <v>743</v>
      </c>
      <c r="Z198" t="s">
        <v>744</v>
      </c>
      <c r="AA198">
        <v>-2.17319</v>
      </c>
      <c r="AB198">
        <v>-79.898610000000005</v>
      </c>
      <c r="AC198">
        <v>0</v>
      </c>
      <c r="AD198">
        <f>+VLOOKUP(L198,Evalua!$G$2:$H$12,2,0)</f>
        <v>1</v>
      </c>
      <c r="AE198">
        <f>+VLOOKUP(M198,Evalua!$G$2:$H$12,2,0)</f>
        <v>2</v>
      </c>
    </row>
    <row r="199" spans="1:31" hidden="1" x14ac:dyDescent="0.2">
      <c r="A199" s="1" t="s">
        <v>438</v>
      </c>
      <c r="B199" t="s">
        <v>381</v>
      </c>
      <c r="G199" t="s">
        <v>98</v>
      </c>
      <c r="H199" t="s">
        <v>153</v>
      </c>
      <c r="I199" t="s">
        <v>26</v>
      </c>
      <c r="J199" t="s">
        <v>99</v>
      </c>
      <c r="K199" t="s">
        <v>27</v>
      </c>
      <c r="L199" t="s">
        <v>81</v>
      </c>
      <c r="M199" t="s">
        <v>160</v>
      </c>
      <c r="N199" t="str">
        <f>+VLOOKUP(A199,[1]Buscador!$B:$E,4,0)</f>
        <v>Distrito Metropolitano de Quito</v>
      </c>
      <c r="O199" t="str">
        <f>+VLOOKUP(A199,[1]Buscador!$B:$F,5,0)</f>
        <v>Pichincha</v>
      </c>
      <c r="P199" t="s">
        <v>153</v>
      </c>
      <c r="S199" t="s">
        <v>208</v>
      </c>
      <c r="T199" t="s">
        <v>126</v>
      </c>
      <c r="U199" t="s">
        <v>381</v>
      </c>
      <c r="V199" t="s">
        <v>153</v>
      </c>
      <c r="W199" t="s">
        <v>439</v>
      </c>
      <c r="X199" t="s">
        <v>440</v>
      </c>
      <c r="Y199" t="s">
        <v>441</v>
      </c>
      <c r="Z199" t="s">
        <v>442</v>
      </c>
      <c r="AA199">
        <v>-5.4045000000000003E-2</v>
      </c>
      <c r="AB199">
        <v>-78.455477999999999</v>
      </c>
      <c r="AC199">
        <v>0</v>
      </c>
      <c r="AD199">
        <f>+VLOOKUP(L199,Evalua!$G$2:$H$12,2,0)</f>
        <v>3</v>
      </c>
      <c r="AE199">
        <f>+VLOOKUP(M199,Evalua!$G$2:$H$12,2,0)</f>
        <v>1</v>
      </c>
    </row>
    <row r="200" spans="1:31" hidden="1" x14ac:dyDescent="0.2">
      <c r="A200" s="1" t="s">
        <v>329</v>
      </c>
      <c r="B200" t="s">
        <v>272</v>
      </c>
      <c r="E200" s="3" t="s">
        <v>1997</v>
      </c>
      <c r="G200" t="s">
        <v>98</v>
      </c>
      <c r="H200" t="s">
        <v>153</v>
      </c>
      <c r="I200" t="s">
        <v>26</v>
      </c>
      <c r="J200" t="s">
        <v>99</v>
      </c>
      <c r="K200" t="s">
        <v>46</v>
      </c>
      <c r="L200" t="s">
        <v>28</v>
      </c>
      <c r="M200" t="s">
        <v>29</v>
      </c>
      <c r="N200" t="str">
        <f>+VLOOKUP(A200,[1]Buscador!$B:$E,4,0)</f>
        <v>Guayaquil</v>
      </c>
      <c r="O200" t="str">
        <f>+VLOOKUP(A200,[1]Buscador!$B:$F,5,0)</f>
        <v>Guayas</v>
      </c>
      <c r="P200" t="s">
        <v>153</v>
      </c>
      <c r="S200" t="s">
        <v>32</v>
      </c>
      <c r="T200" t="s">
        <v>33</v>
      </c>
      <c r="U200" t="s">
        <v>272</v>
      </c>
      <c r="V200" t="s">
        <v>153</v>
      </c>
      <c r="W200" t="s">
        <v>330</v>
      </c>
      <c r="X200" t="s">
        <v>331</v>
      </c>
      <c r="Y200" t="s">
        <v>332</v>
      </c>
      <c r="Z200" t="s">
        <v>333</v>
      </c>
      <c r="AA200">
        <v>-2.1595117313999999</v>
      </c>
      <c r="AB200">
        <v>-79.888602073000001</v>
      </c>
      <c r="AC200">
        <v>0</v>
      </c>
      <c r="AD200">
        <f>+VLOOKUP(L200,Evalua!$G$2:$H$12,2,0)</f>
        <v>1</v>
      </c>
      <c r="AE200">
        <f>+VLOOKUP(M200,Evalua!$G$2:$H$12,2,0)</f>
        <v>2</v>
      </c>
    </row>
    <row r="201" spans="1:31" hidden="1" x14ac:dyDescent="0.2">
      <c r="A201" s="1" t="s">
        <v>542</v>
      </c>
      <c r="B201" t="s">
        <v>488</v>
      </c>
      <c r="E201" t="s">
        <v>2005</v>
      </c>
      <c r="G201" t="s">
        <v>98</v>
      </c>
      <c r="H201" t="s">
        <v>153</v>
      </c>
      <c r="I201" t="s">
        <v>26</v>
      </c>
      <c r="J201" t="s">
        <v>99</v>
      </c>
      <c r="K201" t="s">
        <v>170</v>
      </c>
      <c r="L201" t="s">
        <v>81</v>
      </c>
      <c r="M201" t="s">
        <v>29</v>
      </c>
      <c r="N201" t="str">
        <f>+VLOOKUP(A201,[1]Buscador!$B:$E,4,0)</f>
        <v>Montecristi</v>
      </c>
      <c r="O201" t="str">
        <f>+VLOOKUP(A201,[1]Buscador!$B:$F,5,0)</f>
        <v>Manabí</v>
      </c>
      <c r="P201" t="s">
        <v>31</v>
      </c>
      <c r="S201" t="s">
        <v>82</v>
      </c>
      <c r="T201" t="s">
        <v>83</v>
      </c>
      <c r="U201" t="s">
        <v>488</v>
      </c>
      <c r="V201" t="s">
        <v>153</v>
      </c>
      <c r="W201" t="s">
        <v>543</v>
      </c>
      <c r="X201" t="s">
        <v>544</v>
      </c>
      <c r="Y201" t="s">
        <v>545</v>
      </c>
      <c r="Z201" t="s">
        <v>546</v>
      </c>
      <c r="AA201">
        <v>-1.0063040000000001</v>
      </c>
      <c r="AB201">
        <v>-80.685981999999996</v>
      </c>
      <c r="AC201">
        <v>0</v>
      </c>
      <c r="AD201">
        <f>+VLOOKUP(L201,Evalua!$G$2:$H$12,2,0)</f>
        <v>3</v>
      </c>
      <c r="AE201">
        <f>+VLOOKUP(M201,Evalua!$G$2:$H$12,2,0)</f>
        <v>2</v>
      </c>
    </row>
    <row r="202" spans="1:31" hidden="1" x14ac:dyDescent="0.2">
      <c r="A202" s="1" t="s">
        <v>517</v>
      </c>
      <c r="B202" t="s">
        <v>464</v>
      </c>
      <c r="E202" s="3" t="s">
        <v>1997</v>
      </c>
      <c r="G202" t="s">
        <v>98</v>
      </c>
      <c r="H202" t="s">
        <v>153</v>
      </c>
      <c r="I202" t="s">
        <v>26</v>
      </c>
      <c r="J202" t="s">
        <v>99</v>
      </c>
      <c r="K202" t="s">
        <v>46</v>
      </c>
      <c r="L202" t="s">
        <v>28</v>
      </c>
      <c r="M202" t="s">
        <v>29</v>
      </c>
      <c r="N202" t="str">
        <f>+VLOOKUP(A202,[1]Buscador!$B:$E,4,0)</f>
        <v>Guayaquil</v>
      </c>
      <c r="O202" t="str">
        <f>+VLOOKUP(A202,[1]Buscador!$B:$F,5,0)</f>
        <v>Guayas</v>
      </c>
      <c r="P202" t="s">
        <v>31</v>
      </c>
      <c r="S202" t="s">
        <v>32</v>
      </c>
      <c r="T202" t="s">
        <v>33</v>
      </c>
      <c r="U202" t="s">
        <v>464</v>
      </c>
      <c r="V202" t="s">
        <v>153</v>
      </c>
      <c r="W202" t="s">
        <v>518</v>
      </c>
      <c r="X202" t="s">
        <v>519</v>
      </c>
      <c r="Y202" t="s">
        <v>520</v>
      </c>
      <c r="Z202" t="s">
        <v>521</v>
      </c>
      <c r="AA202">
        <v>-2.0693902345000001</v>
      </c>
      <c r="AB202">
        <v>-79.898141321400004</v>
      </c>
      <c r="AC202">
        <v>0</v>
      </c>
      <c r="AD202">
        <f>+VLOOKUP(L202,Evalua!$G$2:$H$12,2,0)</f>
        <v>1</v>
      </c>
      <c r="AE202">
        <f>+VLOOKUP(M202,Evalua!$G$2:$H$12,2,0)</f>
        <v>2</v>
      </c>
    </row>
    <row r="203" spans="1:31" hidden="1" x14ac:dyDescent="0.2">
      <c r="A203" s="1" t="s">
        <v>354</v>
      </c>
      <c r="B203" t="s">
        <v>299</v>
      </c>
      <c r="E203" s="3" t="s">
        <v>2001</v>
      </c>
      <c r="G203" t="s">
        <v>98</v>
      </c>
      <c r="H203" t="s">
        <v>153</v>
      </c>
      <c r="I203" t="s">
        <v>26</v>
      </c>
      <c r="J203" t="s">
        <v>99</v>
      </c>
      <c r="K203" t="s">
        <v>46</v>
      </c>
      <c r="L203" t="s">
        <v>28</v>
      </c>
      <c r="M203" t="s">
        <v>29</v>
      </c>
      <c r="N203" t="str">
        <f>+VLOOKUP(A203,[1]Buscador!$B:$E,4,0)</f>
        <v>Guayaquil</v>
      </c>
      <c r="O203" t="str">
        <f>+VLOOKUP(A203,[1]Buscador!$B:$F,5,0)</f>
        <v>Guayas</v>
      </c>
      <c r="P203" t="s">
        <v>31</v>
      </c>
      <c r="S203" t="s">
        <v>32</v>
      </c>
      <c r="T203" t="s">
        <v>33</v>
      </c>
      <c r="U203" t="s">
        <v>299</v>
      </c>
      <c r="V203" t="s">
        <v>153</v>
      </c>
      <c r="W203" t="s">
        <v>355</v>
      </c>
      <c r="X203" t="s">
        <v>356</v>
      </c>
      <c r="Y203" t="s">
        <v>357</v>
      </c>
      <c r="Z203" t="s">
        <v>358</v>
      </c>
      <c r="AA203">
        <v>-2.0380955046999998</v>
      </c>
      <c r="AB203">
        <v>-79.945506099200003</v>
      </c>
      <c r="AC203">
        <v>0</v>
      </c>
      <c r="AD203">
        <f>+VLOOKUP(L203,Evalua!$G$2:$H$12,2,0)</f>
        <v>1</v>
      </c>
      <c r="AE203">
        <f>+VLOOKUP(M203,Evalua!$G$2:$H$12,2,0)</f>
        <v>2</v>
      </c>
    </row>
    <row r="204" spans="1:31" hidden="1" x14ac:dyDescent="0.2">
      <c r="A204" s="1" t="s">
        <v>886</v>
      </c>
      <c r="B204" t="s">
        <v>832</v>
      </c>
      <c r="E204" s="3" t="s">
        <v>2006</v>
      </c>
      <c r="G204" t="s">
        <v>98</v>
      </c>
      <c r="H204" t="s">
        <v>153</v>
      </c>
      <c r="I204" t="s">
        <v>26</v>
      </c>
      <c r="J204" t="s">
        <v>99</v>
      </c>
      <c r="K204" t="s">
        <v>46</v>
      </c>
      <c r="L204" t="s">
        <v>28</v>
      </c>
      <c r="M204" t="s">
        <v>29</v>
      </c>
      <c r="N204" t="str">
        <f>+VLOOKUP(A204,[1]Buscador!$B:$E,4,0)</f>
        <v>La Aurora</v>
      </c>
      <c r="O204" t="str">
        <f>+VLOOKUP(A204,[1]Buscador!$B:$F,5,0)</f>
        <v>Guayas</v>
      </c>
      <c r="P204" t="s">
        <v>31</v>
      </c>
      <c r="S204" t="s">
        <v>32</v>
      </c>
      <c r="T204" t="s">
        <v>33</v>
      </c>
      <c r="U204" t="s">
        <v>832</v>
      </c>
      <c r="V204" t="s">
        <v>153</v>
      </c>
      <c r="W204" t="s">
        <v>887</v>
      </c>
      <c r="X204" t="s">
        <v>888</v>
      </c>
      <c r="Y204" t="s">
        <v>889</v>
      </c>
      <c r="Z204" t="s">
        <v>890</v>
      </c>
      <c r="AA204">
        <v>-2.0513138632999999</v>
      </c>
      <c r="AB204">
        <v>-79.901644372999996</v>
      </c>
      <c r="AC204">
        <v>0</v>
      </c>
      <c r="AD204">
        <f>+VLOOKUP(L204,Evalua!$G$2:$H$12,2,0)</f>
        <v>1</v>
      </c>
      <c r="AE204">
        <f>+VLOOKUP(M204,Evalua!$G$2:$H$12,2,0)</f>
        <v>2</v>
      </c>
    </row>
    <row r="205" spans="1:31" hidden="1" x14ac:dyDescent="0.2">
      <c r="A205" s="1" t="s">
        <v>467</v>
      </c>
      <c r="B205" t="s">
        <v>412</v>
      </c>
      <c r="E205" s="3" t="s">
        <v>1997</v>
      </c>
      <c r="G205" t="s">
        <v>98</v>
      </c>
      <c r="H205" t="s">
        <v>153</v>
      </c>
      <c r="I205" t="s">
        <v>26</v>
      </c>
      <c r="J205" t="s">
        <v>99</v>
      </c>
      <c r="K205" t="s">
        <v>46</v>
      </c>
      <c r="L205" t="s">
        <v>81</v>
      </c>
      <c r="M205" t="s">
        <v>29</v>
      </c>
      <c r="N205" t="str">
        <f>+VLOOKUP(A205,[1]Buscador!$B:$E,4,0)</f>
        <v>Guayaquil</v>
      </c>
      <c r="O205" t="str">
        <f>+VLOOKUP(A205,[1]Buscador!$B:$F,5,0)</f>
        <v>Guayas</v>
      </c>
      <c r="P205" t="s">
        <v>31</v>
      </c>
      <c r="S205" t="s">
        <v>82</v>
      </c>
      <c r="T205" t="s">
        <v>83</v>
      </c>
      <c r="U205" t="s">
        <v>412</v>
      </c>
      <c r="V205" t="s">
        <v>153</v>
      </c>
      <c r="W205" t="s">
        <v>468</v>
      </c>
      <c r="X205" t="s">
        <v>469</v>
      </c>
      <c r="Y205" t="s">
        <v>470</v>
      </c>
      <c r="Z205" t="s">
        <v>471</v>
      </c>
      <c r="AA205">
        <v>-2.1441170000000001</v>
      </c>
      <c r="AB205">
        <v>-79.893289999999993</v>
      </c>
      <c r="AC205">
        <v>0</v>
      </c>
      <c r="AD205">
        <f>+VLOOKUP(L205,Evalua!$G$2:$H$12,2,0)</f>
        <v>3</v>
      </c>
      <c r="AE205">
        <f>+VLOOKUP(M205,Evalua!$G$2:$H$12,2,0)</f>
        <v>2</v>
      </c>
    </row>
    <row r="206" spans="1:31" hidden="1" x14ac:dyDescent="0.2">
      <c r="A206" s="1" t="s">
        <v>1045</v>
      </c>
      <c r="B206" t="s">
        <v>991</v>
      </c>
      <c r="G206" t="s">
        <v>98</v>
      </c>
      <c r="H206" t="s">
        <v>153</v>
      </c>
      <c r="I206" t="s">
        <v>26</v>
      </c>
      <c r="J206" t="s">
        <v>99</v>
      </c>
      <c r="K206" t="s">
        <v>27</v>
      </c>
      <c r="L206" t="s">
        <v>28</v>
      </c>
      <c r="M206" t="s">
        <v>29</v>
      </c>
      <c r="N206" t="str">
        <f>+VLOOKUP(A206,[1]Buscador!$B:$E,4,0)</f>
        <v>El Condado</v>
      </c>
      <c r="O206" t="str">
        <f>+VLOOKUP(A206,[1]Buscador!$B:$F,5,0)</f>
        <v>Pichincha</v>
      </c>
      <c r="P206" t="s">
        <v>31</v>
      </c>
      <c r="S206" t="s">
        <v>32</v>
      </c>
      <c r="T206" t="s">
        <v>33</v>
      </c>
      <c r="U206" t="s">
        <v>991</v>
      </c>
      <c r="V206" t="s">
        <v>153</v>
      </c>
      <c r="W206" t="s">
        <v>1046</v>
      </c>
      <c r="X206" t="s">
        <v>1047</v>
      </c>
      <c r="Y206" t="s">
        <v>1048</v>
      </c>
      <c r="Z206" t="s">
        <v>1049</v>
      </c>
      <c r="AA206">
        <v>-0.1143422372</v>
      </c>
      <c r="AB206">
        <v>-78.495563631300001</v>
      </c>
      <c r="AC206">
        <v>0</v>
      </c>
      <c r="AD206">
        <f>+VLOOKUP(L206,Evalua!$G$2:$H$12,2,0)</f>
        <v>1</v>
      </c>
      <c r="AE206">
        <f>+VLOOKUP(M206,Evalua!$G$2:$H$12,2,0)</f>
        <v>2</v>
      </c>
    </row>
    <row r="207" spans="1:31" hidden="1" x14ac:dyDescent="0.2">
      <c r="A207" s="1" t="s">
        <v>1222</v>
      </c>
      <c r="B207" t="s">
        <v>1169</v>
      </c>
      <c r="E207" s="3" t="s">
        <v>2001</v>
      </c>
      <c r="G207" t="s">
        <v>98</v>
      </c>
      <c r="H207" t="s">
        <v>153</v>
      </c>
      <c r="I207" t="s">
        <v>26</v>
      </c>
      <c r="J207" t="s">
        <v>99</v>
      </c>
      <c r="K207" t="s">
        <v>46</v>
      </c>
      <c r="L207" t="s">
        <v>28</v>
      </c>
      <c r="M207" t="s">
        <v>29</v>
      </c>
      <c r="N207" t="str">
        <f>+VLOOKUP(A207,[1]Buscador!$B:$E,4,0)</f>
        <v>Samborondón</v>
      </c>
      <c r="O207" t="str">
        <f>+VLOOKUP(A207,[1]Buscador!$B:$F,5,0)</f>
        <v>Guayas</v>
      </c>
      <c r="P207" t="s">
        <v>31</v>
      </c>
      <c r="S207" t="s">
        <v>32</v>
      </c>
      <c r="T207" t="s">
        <v>33</v>
      </c>
      <c r="U207" t="s">
        <v>1169</v>
      </c>
      <c r="V207" t="s">
        <v>153</v>
      </c>
      <c r="W207" t="s">
        <v>161</v>
      </c>
      <c r="X207" t="s">
        <v>1223</v>
      </c>
      <c r="Y207" t="s">
        <v>1224</v>
      </c>
      <c r="Z207" t="s">
        <v>1225</v>
      </c>
      <c r="AA207">
        <v>-2.1404320000000001</v>
      </c>
      <c r="AB207">
        <v>-79.864389000000003</v>
      </c>
      <c r="AC207">
        <v>0</v>
      </c>
      <c r="AD207">
        <f>+VLOOKUP(L207,Evalua!$G$2:$H$12,2,0)</f>
        <v>1</v>
      </c>
      <c r="AE207">
        <f>+VLOOKUP(M207,Evalua!$G$2:$H$12,2,0)</f>
        <v>2</v>
      </c>
    </row>
    <row r="208" spans="1:31" hidden="1" x14ac:dyDescent="0.2">
      <c r="A208" s="1" t="s">
        <v>1698</v>
      </c>
      <c r="B208" t="s">
        <v>1699</v>
      </c>
      <c r="G208" t="s">
        <v>1700</v>
      </c>
      <c r="H208" t="s">
        <v>153</v>
      </c>
      <c r="I208" t="s">
        <v>26</v>
      </c>
      <c r="J208" t="s">
        <v>2</v>
      </c>
      <c r="K208" t="s">
        <v>27</v>
      </c>
      <c r="L208" t="s">
        <v>28</v>
      </c>
      <c r="M208" t="s">
        <v>29</v>
      </c>
      <c r="N208" t="str">
        <f>+VLOOKUP(A208,[1]Buscador!$B:$E,4,0)</f>
        <v>Carapungo</v>
      </c>
      <c r="O208" t="str">
        <f>+VLOOKUP(A208,[1]Buscador!$B:$F,5,0)</f>
        <v>Pichincha</v>
      </c>
      <c r="P208" t="s">
        <v>31</v>
      </c>
      <c r="S208" t="s">
        <v>32</v>
      </c>
      <c r="T208" t="s">
        <v>33</v>
      </c>
      <c r="U208" t="s">
        <v>1425</v>
      </c>
      <c r="V208" t="s">
        <v>153</v>
      </c>
      <c r="X208" t="s">
        <v>1701</v>
      </c>
      <c r="Z208" t="s">
        <v>1942</v>
      </c>
      <c r="AA208">
        <v>-0.10817009322543</v>
      </c>
      <c r="AB208">
        <v>-78.458035635581993</v>
      </c>
      <c r="AC208">
        <v>0</v>
      </c>
      <c r="AD208">
        <f>+VLOOKUP(L208,Evalua!$G$2:$H$12,2,0)</f>
        <v>1</v>
      </c>
      <c r="AE208">
        <f>+VLOOKUP(M208,Evalua!$G$2:$H$12,2,0)</f>
        <v>2</v>
      </c>
    </row>
    <row r="209" spans="1:31" hidden="1" x14ac:dyDescent="0.2">
      <c r="A209" s="1" t="s">
        <v>507</v>
      </c>
      <c r="B209" t="s">
        <v>454</v>
      </c>
      <c r="D209" t="s">
        <v>1996</v>
      </c>
      <c r="E209" s="3" t="s">
        <v>1997</v>
      </c>
      <c r="G209" t="s">
        <v>98</v>
      </c>
      <c r="H209" t="s">
        <v>153</v>
      </c>
      <c r="I209" t="s">
        <v>26</v>
      </c>
      <c r="J209" t="s">
        <v>99</v>
      </c>
      <c r="K209" t="s">
        <v>46</v>
      </c>
      <c r="L209" t="s">
        <v>81</v>
      </c>
      <c r="M209" t="s">
        <v>234</v>
      </c>
      <c r="N209" t="str">
        <f>+VLOOKUP(A209,[1]Buscador!$B:$E,4,0)</f>
        <v>Durán</v>
      </c>
      <c r="O209" t="str">
        <f>+VLOOKUP(A209,[1]Buscador!$B:$F,5,0)</f>
        <v>Guayas</v>
      </c>
      <c r="P209" t="s">
        <v>31</v>
      </c>
      <c r="S209" t="s">
        <v>235</v>
      </c>
      <c r="T209" t="s">
        <v>33</v>
      </c>
      <c r="U209" t="s">
        <v>454</v>
      </c>
      <c r="V209" t="s">
        <v>153</v>
      </c>
      <c r="W209" t="s">
        <v>508</v>
      </c>
      <c r="X209" t="s">
        <v>509</v>
      </c>
      <c r="Y209" t="s">
        <v>510</v>
      </c>
      <c r="Z209" t="s">
        <v>511</v>
      </c>
      <c r="AA209">
        <v>-2.2138081854</v>
      </c>
      <c r="AB209">
        <v>-79.824929546899995</v>
      </c>
      <c r="AC209">
        <v>0</v>
      </c>
      <c r="AD209">
        <f>+VLOOKUP(L209,Evalua!$G$2:$H$12,2,0)</f>
        <v>3</v>
      </c>
      <c r="AE209">
        <f>+VLOOKUP(M209,Evalua!$G$2:$H$12,2,0)</f>
        <v>3</v>
      </c>
    </row>
    <row r="210" spans="1:31" hidden="1" x14ac:dyDescent="0.2">
      <c r="A210" s="1" t="s">
        <v>618</v>
      </c>
      <c r="B210" t="s">
        <v>563</v>
      </c>
      <c r="E210" s="3" t="s">
        <v>2006</v>
      </c>
      <c r="G210" t="s">
        <v>98</v>
      </c>
      <c r="H210" t="s">
        <v>153</v>
      </c>
      <c r="I210" t="s">
        <v>26</v>
      </c>
      <c r="J210" t="s">
        <v>99</v>
      </c>
      <c r="K210" t="s">
        <v>46</v>
      </c>
      <c r="L210" t="s">
        <v>28</v>
      </c>
      <c r="M210" t="s">
        <v>29</v>
      </c>
      <c r="N210" t="str">
        <f>+VLOOKUP(A210,[1]Buscador!$B:$E,4,0)</f>
        <v>La Aurora</v>
      </c>
      <c r="O210" t="str">
        <f>+VLOOKUP(A210,[1]Buscador!$B:$F,5,0)</f>
        <v>Guayas</v>
      </c>
      <c r="P210" t="s">
        <v>153</v>
      </c>
      <c r="S210" t="s">
        <v>32</v>
      </c>
      <c r="T210" t="s">
        <v>33</v>
      </c>
      <c r="U210" t="s">
        <v>563</v>
      </c>
      <c r="V210" t="s">
        <v>153</v>
      </c>
      <c r="W210" t="s">
        <v>619</v>
      </c>
      <c r="X210" t="s">
        <v>620</v>
      </c>
      <c r="Y210" t="s">
        <v>621</v>
      </c>
      <c r="Z210" t="s">
        <v>622</v>
      </c>
      <c r="AA210">
        <v>-2.0535766783999998</v>
      </c>
      <c r="AB210">
        <v>-79.916158661400004</v>
      </c>
      <c r="AC210">
        <v>0</v>
      </c>
      <c r="AD210">
        <f>+VLOOKUP(L210,Evalua!$G$2:$H$12,2,0)</f>
        <v>1</v>
      </c>
      <c r="AE210">
        <f>+VLOOKUP(M210,Evalua!$G$2:$H$12,2,0)</f>
        <v>2</v>
      </c>
    </row>
    <row r="211" spans="1:31" hidden="1" x14ac:dyDescent="0.2">
      <c r="A211" s="1" t="s">
        <v>871</v>
      </c>
      <c r="B211" t="s">
        <v>817</v>
      </c>
      <c r="G211" t="s">
        <v>98</v>
      </c>
      <c r="H211" t="s">
        <v>153</v>
      </c>
      <c r="I211" t="s">
        <v>26</v>
      </c>
      <c r="J211" t="s">
        <v>99</v>
      </c>
      <c r="K211" t="s">
        <v>27</v>
      </c>
      <c r="L211" t="s">
        <v>28</v>
      </c>
      <c r="M211" t="s">
        <v>29</v>
      </c>
      <c r="N211" t="str">
        <f>+VLOOKUP(A211,[1]Buscador!$B:$E,4,0)</f>
        <v>Quito</v>
      </c>
      <c r="O211" t="str">
        <f>+VLOOKUP(A211,[1]Buscador!$B:$F,5,0)</f>
        <v>Pichincha</v>
      </c>
      <c r="P211" t="s">
        <v>31</v>
      </c>
      <c r="S211" t="s">
        <v>32</v>
      </c>
      <c r="T211" t="s">
        <v>33</v>
      </c>
      <c r="U211" t="s">
        <v>817</v>
      </c>
      <c r="V211" t="s">
        <v>153</v>
      </c>
      <c r="W211" t="s">
        <v>872</v>
      </c>
      <c r="X211" t="s">
        <v>873</v>
      </c>
      <c r="Y211" t="s">
        <v>874</v>
      </c>
      <c r="Z211" t="s">
        <v>875</v>
      </c>
      <c r="AA211">
        <v>-0.28617413959999999</v>
      </c>
      <c r="AB211">
        <v>-78.537414868699997</v>
      </c>
      <c r="AC211">
        <v>0</v>
      </c>
      <c r="AD211">
        <f>+VLOOKUP(L211,Evalua!$G$2:$H$12,2,0)</f>
        <v>1</v>
      </c>
      <c r="AE211">
        <f>+VLOOKUP(M211,Evalua!$G$2:$H$12,2,0)</f>
        <v>2</v>
      </c>
    </row>
    <row r="212" spans="1:31" hidden="1" x14ac:dyDescent="0.2">
      <c r="A212" s="1" t="s">
        <v>811</v>
      </c>
      <c r="B212" t="s">
        <v>756</v>
      </c>
      <c r="D212" t="s">
        <v>1996</v>
      </c>
      <c r="E212" s="3" t="s">
        <v>2006</v>
      </c>
      <c r="G212" t="s">
        <v>98</v>
      </c>
      <c r="H212" t="s">
        <v>153</v>
      </c>
      <c r="I212" t="s">
        <v>26</v>
      </c>
      <c r="J212" t="s">
        <v>99</v>
      </c>
      <c r="K212" t="s">
        <v>46</v>
      </c>
      <c r="L212" t="s">
        <v>28</v>
      </c>
      <c r="M212" t="s">
        <v>29</v>
      </c>
      <c r="N212" t="str">
        <f>+VLOOKUP(A212,[1]Buscador!$B:$E,4,0)</f>
        <v>Guayaquil</v>
      </c>
      <c r="O212" t="str">
        <f>+VLOOKUP(A212,[1]Buscador!$B:$F,5,0)</f>
        <v>Guayas</v>
      </c>
      <c r="P212" t="s">
        <v>31</v>
      </c>
      <c r="S212" t="s">
        <v>32</v>
      </c>
      <c r="T212" t="s">
        <v>33</v>
      </c>
      <c r="U212" t="s">
        <v>756</v>
      </c>
      <c r="V212" t="s">
        <v>153</v>
      </c>
      <c r="W212" t="s">
        <v>812</v>
      </c>
      <c r="X212" t="s">
        <v>813</v>
      </c>
      <c r="Y212" t="s">
        <v>814</v>
      </c>
      <c r="Z212" t="s">
        <v>815</v>
      </c>
      <c r="AA212">
        <v>-2.22946</v>
      </c>
      <c r="AB212">
        <v>-79.897379000000001</v>
      </c>
      <c r="AC212">
        <v>0</v>
      </c>
      <c r="AD212">
        <f>+VLOOKUP(L212,Evalua!$G$2:$H$12,2,0)</f>
        <v>1</v>
      </c>
      <c r="AE212">
        <f>+VLOOKUP(M212,Evalua!$G$2:$H$12,2,0)</f>
        <v>2</v>
      </c>
    </row>
    <row r="213" spans="1:31" hidden="1" x14ac:dyDescent="0.2">
      <c r="A213" s="1" t="s">
        <v>110</v>
      </c>
      <c r="B213" t="s">
        <v>111</v>
      </c>
      <c r="D213" t="s">
        <v>1990</v>
      </c>
      <c r="E213" t="s">
        <v>1997</v>
      </c>
      <c r="G213" t="s">
        <v>106</v>
      </c>
      <c r="H213" t="s">
        <v>153</v>
      </c>
      <c r="I213" t="s">
        <v>26</v>
      </c>
      <c r="J213" t="s">
        <v>2</v>
      </c>
      <c r="K213" t="s">
        <v>46</v>
      </c>
      <c r="L213" t="s">
        <v>28</v>
      </c>
      <c r="M213" t="s">
        <v>29</v>
      </c>
      <c r="N213" t="str">
        <f>+VLOOKUP(A213,[1]Buscador!$B:$E,4,0)</f>
        <v>Guayaquil</v>
      </c>
      <c r="O213" t="str">
        <f>+VLOOKUP(A213,[1]Buscador!$B:$F,5,0)</f>
        <v>Guayas</v>
      </c>
      <c r="P213" t="s">
        <v>31</v>
      </c>
      <c r="S213" t="s">
        <v>32</v>
      </c>
      <c r="T213" t="s">
        <v>33</v>
      </c>
      <c r="U213" t="s">
        <v>70</v>
      </c>
      <c r="V213" t="s">
        <v>153</v>
      </c>
      <c r="W213" t="s">
        <v>112</v>
      </c>
      <c r="X213" t="s">
        <v>113</v>
      </c>
      <c r="Y213" t="s">
        <v>114</v>
      </c>
      <c r="Z213" t="s">
        <v>103</v>
      </c>
      <c r="AA213">
        <v>-2.1477533986999999</v>
      </c>
      <c r="AB213">
        <v>-79.8998586429</v>
      </c>
      <c r="AC213">
        <v>0</v>
      </c>
      <c r="AD213">
        <f>+VLOOKUP(L213,Evalua!$G$2:$H$12,2,0)</f>
        <v>1</v>
      </c>
      <c r="AE213">
        <f>+VLOOKUP(M213,Evalua!$G$2:$H$12,2,0)</f>
        <v>2</v>
      </c>
    </row>
    <row r="214" spans="1:31" hidden="1" x14ac:dyDescent="0.2">
      <c r="A214" s="1" t="s">
        <v>583</v>
      </c>
      <c r="B214" t="s">
        <v>528</v>
      </c>
      <c r="E214" s="3" t="s">
        <v>1997</v>
      </c>
      <c r="G214" t="s">
        <v>98</v>
      </c>
      <c r="H214" t="s">
        <v>153</v>
      </c>
      <c r="I214" t="s">
        <v>26</v>
      </c>
      <c r="J214" t="s">
        <v>99</v>
      </c>
      <c r="K214" t="s">
        <v>46</v>
      </c>
      <c r="L214" t="s">
        <v>28</v>
      </c>
      <c r="M214" t="s">
        <v>29</v>
      </c>
      <c r="N214" t="str">
        <f>+VLOOKUP(A214,[1]Buscador!$B:$E,4,0)</f>
        <v>Guayaquil</v>
      </c>
      <c r="O214" t="str">
        <f>+VLOOKUP(A214,[1]Buscador!$B:$F,5,0)</f>
        <v>Guayas</v>
      </c>
      <c r="P214" t="s">
        <v>31</v>
      </c>
      <c r="S214" t="s">
        <v>32</v>
      </c>
      <c r="T214" t="s">
        <v>33</v>
      </c>
      <c r="U214" t="s">
        <v>528</v>
      </c>
      <c r="V214" t="s">
        <v>153</v>
      </c>
      <c r="W214" t="s">
        <v>584</v>
      </c>
      <c r="X214" t="s">
        <v>585</v>
      </c>
      <c r="Y214" t="s">
        <v>586</v>
      </c>
      <c r="Z214" t="s">
        <v>587</v>
      </c>
      <c r="AA214">
        <v>-2.1685807957000001</v>
      </c>
      <c r="AB214">
        <v>-79.8790496429</v>
      </c>
      <c r="AC214">
        <v>0</v>
      </c>
      <c r="AD214">
        <f>+VLOOKUP(L214,Evalua!$G$2:$H$12,2,0)</f>
        <v>1</v>
      </c>
      <c r="AE214">
        <f>+VLOOKUP(M214,Evalua!$G$2:$H$12,2,0)</f>
        <v>2</v>
      </c>
    </row>
    <row r="215" spans="1:31" hidden="1" x14ac:dyDescent="0.2">
      <c r="A215" s="1" t="s">
        <v>668</v>
      </c>
      <c r="B215" t="s">
        <v>614</v>
      </c>
      <c r="E215" s="3" t="s">
        <v>1998</v>
      </c>
      <c r="G215" t="s">
        <v>98</v>
      </c>
      <c r="H215" t="s">
        <v>153</v>
      </c>
      <c r="I215" t="s">
        <v>26</v>
      </c>
      <c r="J215" t="s">
        <v>99</v>
      </c>
      <c r="K215" t="s">
        <v>46</v>
      </c>
      <c r="L215" t="s">
        <v>28</v>
      </c>
      <c r="M215" t="s">
        <v>29</v>
      </c>
      <c r="N215" t="str">
        <f>+VLOOKUP(A215,[1]Buscador!$B:$E,4,0)</f>
        <v>Guayaquil</v>
      </c>
      <c r="O215" t="str">
        <f>+VLOOKUP(A215,[1]Buscador!$B:$F,5,0)</f>
        <v>Guayas</v>
      </c>
      <c r="P215" t="s">
        <v>31</v>
      </c>
      <c r="S215" t="s">
        <v>32</v>
      </c>
      <c r="T215" t="s">
        <v>33</v>
      </c>
      <c r="U215" t="s">
        <v>614</v>
      </c>
      <c r="V215" t="s">
        <v>153</v>
      </c>
      <c r="W215" t="s">
        <v>669</v>
      </c>
      <c r="X215" t="s">
        <v>670</v>
      </c>
      <c r="Y215" t="s">
        <v>671</v>
      </c>
      <c r="Z215" t="s">
        <v>672</v>
      </c>
      <c r="AA215">
        <v>-2.1450867457</v>
      </c>
      <c r="AB215">
        <v>-79.912649527400006</v>
      </c>
      <c r="AC215">
        <v>0</v>
      </c>
      <c r="AD215">
        <f>+VLOOKUP(L215,Evalua!$G$2:$H$12,2,0)</f>
        <v>1</v>
      </c>
      <c r="AE215">
        <f>+VLOOKUP(M215,Evalua!$G$2:$H$12,2,0)</f>
        <v>2</v>
      </c>
    </row>
    <row r="216" spans="1:31" hidden="1" x14ac:dyDescent="0.2">
      <c r="A216" s="1" t="s">
        <v>492</v>
      </c>
      <c r="B216" t="s">
        <v>439</v>
      </c>
      <c r="C216" t="s">
        <v>2026</v>
      </c>
      <c r="D216" t="s">
        <v>1995</v>
      </c>
      <c r="E216" s="3" t="s">
        <v>2006</v>
      </c>
      <c r="G216" t="s">
        <v>98</v>
      </c>
      <c r="H216" t="s">
        <v>153</v>
      </c>
      <c r="I216" t="s">
        <v>26</v>
      </c>
      <c r="J216" t="s">
        <v>99</v>
      </c>
      <c r="K216" t="s">
        <v>46</v>
      </c>
      <c r="L216" t="s">
        <v>28</v>
      </c>
      <c r="M216" t="s">
        <v>29</v>
      </c>
      <c r="N216" t="str">
        <f>+VLOOKUP(A216,[1]Buscador!$B:$E,4,0)</f>
        <v>Guayaquil</v>
      </c>
      <c r="O216" t="str">
        <f>+VLOOKUP(A216,[1]Buscador!$B:$F,5,0)</f>
        <v>Guayas</v>
      </c>
      <c r="P216" t="s">
        <v>31</v>
      </c>
      <c r="S216" t="s">
        <v>32</v>
      </c>
      <c r="T216" t="s">
        <v>33</v>
      </c>
      <c r="U216" t="s">
        <v>439</v>
      </c>
      <c r="V216" t="s">
        <v>153</v>
      </c>
      <c r="W216" t="s">
        <v>493</v>
      </c>
      <c r="X216" t="s">
        <v>494</v>
      </c>
      <c r="Y216" t="s">
        <v>495</v>
      </c>
      <c r="Z216" t="s">
        <v>496</v>
      </c>
      <c r="AA216">
        <v>-2.203073973</v>
      </c>
      <c r="AB216">
        <v>-79.915665377799996</v>
      </c>
      <c r="AC216">
        <v>0</v>
      </c>
      <c r="AD216">
        <f>+VLOOKUP(L216,Evalua!$G$2:$H$12,2,0)</f>
        <v>1</v>
      </c>
      <c r="AE216">
        <f>+VLOOKUP(M216,Evalua!$G$2:$H$12,2,0)</f>
        <v>2</v>
      </c>
    </row>
    <row r="217" spans="1:31" hidden="1" x14ac:dyDescent="0.2">
      <c r="A217" s="1" t="s">
        <v>1589</v>
      </c>
      <c r="B217" t="s">
        <v>1590</v>
      </c>
      <c r="D217" t="s">
        <v>1994</v>
      </c>
      <c r="E217" t="s">
        <v>1997</v>
      </c>
      <c r="G217" t="s">
        <v>1587</v>
      </c>
      <c r="H217" t="s">
        <v>153</v>
      </c>
      <c r="I217" t="s">
        <v>26</v>
      </c>
      <c r="J217" t="s">
        <v>2</v>
      </c>
      <c r="K217" t="s">
        <v>206</v>
      </c>
      <c r="L217" t="s">
        <v>1392</v>
      </c>
      <c r="M217" t="s">
        <v>234</v>
      </c>
      <c r="N217" t="str">
        <f>+VLOOKUP(A217,[1]Buscador!$B:$E,4,0)</f>
        <v>Machala</v>
      </c>
      <c r="O217" t="str">
        <f>+VLOOKUP(A217,[1]Buscador!$B:$F,5,0)</f>
        <v>El Oro</v>
      </c>
      <c r="P217" t="s">
        <v>31</v>
      </c>
      <c r="S217" t="s">
        <v>1581</v>
      </c>
      <c r="T217" t="s">
        <v>730</v>
      </c>
      <c r="U217" t="s">
        <v>1345</v>
      </c>
      <c r="V217" t="s">
        <v>153</v>
      </c>
      <c r="X217" t="s">
        <v>1591</v>
      </c>
      <c r="Z217" t="s">
        <v>1928</v>
      </c>
      <c r="AA217">
        <v>-3.2603292549264</v>
      </c>
      <c r="AB217">
        <v>-79.959522265011998</v>
      </c>
      <c r="AC217">
        <v>0</v>
      </c>
      <c r="AD217">
        <f>+VLOOKUP(L217,Evalua!$G$2:$H$12,2,0)</f>
        <v>2</v>
      </c>
      <c r="AE217">
        <f>+VLOOKUP(M217,Evalua!$G$2:$H$12,2,0)</f>
        <v>3</v>
      </c>
    </row>
    <row r="218" spans="1:31" hidden="1" x14ac:dyDescent="0.2">
      <c r="A218" s="1" t="s">
        <v>628</v>
      </c>
      <c r="B218" t="s">
        <v>574</v>
      </c>
      <c r="D218" t="s">
        <v>2014</v>
      </c>
      <c r="E218" s="3" t="s">
        <v>1998</v>
      </c>
      <c r="G218" t="s">
        <v>98</v>
      </c>
      <c r="H218" t="s">
        <v>153</v>
      </c>
      <c r="I218" t="s">
        <v>26</v>
      </c>
      <c r="J218" t="s">
        <v>99</v>
      </c>
      <c r="K218" t="s">
        <v>46</v>
      </c>
      <c r="L218" t="s">
        <v>28</v>
      </c>
      <c r="M218" t="s">
        <v>29</v>
      </c>
      <c r="N218" t="str">
        <f>+VLOOKUP(A218,[1]Buscador!$B:$E,4,0)</f>
        <v>Guayaquil</v>
      </c>
      <c r="O218" t="str">
        <f>+VLOOKUP(A218,[1]Buscador!$B:$F,5,0)</f>
        <v>Guayas</v>
      </c>
      <c r="P218" t="s">
        <v>153</v>
      </c>
      <c r="S218" t="s">
        <v>32</v>
      </c>
      <c r="T218" t="s">
        <v>33</v>
      </c>
      <c r="U218" t="s">
        <v>574</v>
      </c>
      <c r="V218" t="s">
        <v>153</v>
      </c>
      <c r="W218" t="s">
        <v>629</v>
      </c>
      <c r="X218" t="s">
        <v>630</v>
      </c>
      <c r="Y218" t="s">
        <v>631</v>
      </c>
      <c r="Z218" t="s">
        <v>632</v>
      </c>
      <c r="AA218">
        <v>-2.1891975473</v>
      </c>
      <c r="AB218">
        <v>-79.889251477100004</v>
      </c>
      <c r="AC218">
        <v>0</v>
      </c>
      <c r="AD218">
        <f>+VLOOKUP(L218,Evalua!$G$2:$H$12,2,0)</f>
        <v>1</v>
      </c>
      <c r="AE218">
        <f>+VLOOKUP(M218,Evalua!$G$2:$H$12,2,0)</f>
        <v>2</v>
      </c>
    </row>
    <row r="219" spans="1:31" hidden="1" x14ac:dyDescent="0.2">
      <c r="A219" s="1" t="s">
        <v>547</v>
      </c>
      <c r="B219" t="s">
        <v>493</v>
      </c>
      <c r="D219" t="s">
        <v>2003</v>
      </c>
      <c r="E219" t="s">
        <v>1992</v>
      </c>
      <c r="G219" t="s">
        <v>98</v>
      </c>
      <c r="H219" t="s">
        <v>153</v>
      </c>
      <c r="I219" t="s">
        <v>26</v>
      </c>
      <c r="J219" t="s">
        <v>99</v>
      </c>
      <c r="K219" t="s">
        <v>170</v>
      </c>
      <c r="L219" t="s">
        <v>81</v>
      </c>
      <c r="M219" t="s">
        <v>29</v>
      </c>
      <c r="N219" t="str">
        <f>+VLOOKUP(A219,[1]Buscador!$B:$E,4,0)</f>
        <v>Portoviejo</v>
      </c>
      <c r="O219" t="str">
        <f>+VLOOKUP(A219,[1]Buscador!$B:$F,5,0)</f>
        <v>Manabí</v>
      </c>
      <c r="P219" t="s">
        <v>31</v>
      </c>
      <c r="S219" t="s">
        <v>82</v>
      </c>
      <c r="T219" t="s">
        <v>83</v>
      </c>
      <c r="U219" t="s">
        <v>493</v>
      </c>
      <c r="V219" t="s">
        <v>153</v>
      </c>
      <c r="W219" t="s">
        <v>548</v>
      </c>
      <c r="X219" t="s">
        <v>549</v>
      </c>
      <c r="Y219" t="s">
        <v>550</v>
      </c>
      <c r="Z219" t="s">
        <v>551</v>
      </c>
      <c r="AA219">
        <v>-1.0707230000000001</v>
      </c>
      <c r="AB219">
        <v>-80.448010999999994</v>
      </c>
      <c r="AC219">
        <v>0</v>
      </c>
      <c r="AD219">
        <f>+VLOOKUP(L219,Evalua!$G$2:$H$12,2,0)</f>
        <v>3</v>
      </c>
      <c r="AE219">
        <f>+VLOOKUP(M219,Evalua!$G$2:$H$12,2,0)</f>
        <v>2</v>
      </c>
    </row>
    <row r="220" spans="1:31" hidden="1" x14ac:dyDescent="0.2">
      <c r="A220" s="1" t="s">
        <v>120</v>
      </c>
      <c r="B220" t="s">
        <v>121</v>
      </c>
      <c r="D220" t="s">
        <v>1994</v>
      </c>
      <c r="E220" t="s">
        <v>2019</v>
      </c>
      <c r="G220" t="s">
        <v>122</v>
      </c>
      <c r="H220" t="s">
        <v>153</v>
      </c>
      <c r="I220" t="s">
        <v>26</v>
      </c>
      <c r="J220" t="s">
        <v>2</v>
      </c>
      <c r="K220" t="s">
        <v>27</v>
      </c>
      <c r="L220" t="s">
        <v>123</v>
      </c>
      <c r="M220" t="s">
        <v>29</v>
      </c>
      <c r="N220" t="str">
        <f>+VLOOKUP(A220,[1]Buscador!$B:$E,4,0)</f>
        <v>Ambato</v>
      </c>
      <c r="O220" t="str">
        <f>+VLOOKUP(A220,[1]Buscador!$B:$F,5,0)</f>
        <v>Tungurahua</v>
      </c>
      <c r="P220" t="s">
        <v>31</v>
      </c>
      <c r="S220" t="s">
        <v>125</v>
      </c>
      <c r="T220" t="s">
        <v>126</v>
      </c>
      <c r="U220" t="s">
        <v>75</v>
      </c>
      <c r="V220" t="s">
        <v>153</v>
      </c>
      <c r="W220" t="s">
        <v>127</v>
      </c>
      <c r="X220" t="s">
        <v>128</v>
      </c>
      <c r="Y220" t="s">
        <v>129</v>
      </c>
      <c r="Z220" t="s">
        <v>130</v>
      </c>
      <c r="AA220">
        <v>-1.24134174</v>
      </c>
      <c r="AB220">
        <v>-78.628491327899994</v>
      </c>
      <c r="AC220">
        <v>0</v>
      </c>
      <c r="AD220">
        <f>+VLOOKUP(L220,Evalua!$G$2:$H$12,2,0)</f>
        <v>4</v>
      </c>
      <c r="AE220">
        <f>+VLOOKUP(M220,Evalua!$G$2:$H$12,2,0)</f>
        <v>2</v>
      </c>
    </row>
    <row r="221" spans="1:31" hidden="1" x14ac:dyDescent="0.2">
      <c r="A221" s="1" t="s">
        <v>643</v>
      </c>
      <c r="B221" t="s">
        <v>589</v>
      </c>
      <c r="D221" t="s">
        <v>1990</v>
      </c>
      <c r="E221" t="s">
        <v>2006</v>
      </c>
      <c r="G221" t="s">
        <v>98</v>
      </c>
      <c r="H221" t="s">
        <v>1970</v>
      </c>
      <c r="I221" t="s">
        <v>26</v>
      </c>
      <c r="J221" t="s">
        <v>99</v>
      </c>
      <c r="K221" t="s">
        <v>46</v>
      </c>
      <c r="L221" t="s">
        <v>28</v>
      </c>
      <c r="M221" t="s">
        <v>29</v>
      </c>
      <c r="N221" t="str">
        <f>+VLOOKUP(A221,[1]Buscador!$B:$E,4,0)</f>
        <v>Salinas</v>
      </c>
      <c r="O221" t="str">
        <f>+VLOOKUP(A221,[1]Buscador!$B:$F,5,0)</f>
        <v>Santa Elena</v>
      </c>
      <c r="P221" t="s">
        <v>418</v>
      </c>
      <c r="Q221">
        <v>0</v>
      </c>
      <c r="R221">
        <v>4</v>
      </c>
      <c r="S221" t="s">
        <v>32</v>
      </c>
      <c r="T221" t="s">
        <v>33</v>
      </c>
      <c r="U221" t="s">
        <v>589</v>
      </c>
      <c r="V221" t="s">
        <v>1922</v>
      </c>
      <c r="W221" t="s">
        <v>644</v>
      </c>
      <c r="X221" t="s">
        <v>645</v>
      </c>
      <c r="Y221" t="s">
        <v>646</v>
      </c>
      <c r="Z221" t="s">
        <v>647</v>
      </c>
      <c r="AA221">
        <v>-2.2049575175</v>
      </c>
      <c r="AB221">
        <v>-80.973525440499998</v>
      </c>
      <c r="AC221">
        <v>0</v>
      </c>
      <c r="AD221">
        <f>+VLOOKUP(L221,Evalua!$G$2:$H$12,2,0)</f>
        <v>1</v>
      </c>
      <c r="AE221">
        <f>+VLOOKUP(M221,Evalua!$G$2:$H$12,2,0)</f>
        <v>2</v>
      </c>
    </row>
    <row r="222" spans="1:31" hidden="1" x14ac:dyDescent="0.2">
      <c r="A222" s="1" t="s">
        <v>796</v>
      </c>
      <c r="B222" t="s">
        <v>741</v>
      </c>
      <c r="G222" t="s">
        <v>98</v>
      </c>
      <c r="H222" t="s">
        <v>153</v>
      </c>
      <c r="I222" t="s">
        <v>26</v>
      </c>
      <c r="J222" t="s">
        <v>99</v>
      </c>
      <c r="K222" t="s">
        <v>159</v>
      </c>
      <c r="L222" t="s">
        <v>28</v>
      </c>
      <c r="M222" t="s">
        <v>160</v>
      </c>
      <c r="N222" t="str">
        <f>+VLOOKUP(A222,[1]Buscador!$B:$E,4,0)</f>
        <v>Cuenca</v>
      </c>
      <c r="O222" t="str">
        <f>+VLOOKUP(A222,[1]Buscador!$B:$F,5,0)</f>
        <v>Azuay</v>
      </c>
      <c r="P222" t="s">
        <v>153</v>
      </c>
      <c r="S222" t="s">
        <v>162</v>
      </c>
      <c r="T222" t="s">
        <v>83</v>
      </c>
      <c r="U222" t="s">
        <v>741</v>
      </c>
      <c r="V222" t="s">
        <v>153</v>
      </c>
      <c r="W222" t="s">
        <v>797</v>
      </c>
      <c r="X222" t="s">
        <v>798</v>
      </c>
      <c r="Y222" t="s">
        <v>799</v>
      </c>
      <c r="Z222" t="s">
        <v>800</v>
      </c>
      <c r="AA222">
        <v>-2.9149265577999999</v>
      </c>
      <c r="AB222">
        <v>-79.022764461999998</v>
      </c>
      <c r="AC222">
        <v>0</v>
      </c>
      <c r="AD222">
        <f>+VLOOKUP(L222,Evalua!$G$2:$H$12,2,0)</f>
        <v>1</v>
      </c>
      <c r="AE222">
        <f>+VLOOKUP(M222,Evalua!$G$2:$H$12,2,0)</f>
        <v>1</v>
      </c>
    </row>
    <row r="223" spans="1:31" hidden="1" x14ac:dyDescent="0.2">
      <c r="A223" s="1" t="s">
        <v>391</v>
      </c>
      <c r="B223" t="s">
        <v>335</v>
      </c>
      <c r="E223" s="3" t="s">
        <v>1998</v>
      </c>
      <c r="G223" t="s">
        <v>98</v>
      </c>
      <c r="H223" t="s">
        <v>153</v>
      </c>
      <c r="I223" t="s">
        <v>26</v>
      </c>
      <c r="J223" t="s">
        <v>99</v>
      </c>
      <c r="K223" t="s">
        <v>46</v>
      </c>
      <c r="L223" t="s">
        <v>28</v>
      </c>
      <c r="M223" t="s">
        <v>29</v>
      </c>
      <c r="N223" t="str">
        <f>+VLOOKUP(A223,[1]Buscador!$B:$E,4,0)</f>
        <v>La Aurora</v>
      </c>
      <c r="O223" t="str">
        <f>+VLOOKUP(A223,[1]Buscador!$B:$F,5,0)</f>
        <v>Guayas</v>
      </c>
      <c r="P223" t="s">
        <v>31</v>
      </c>
      <c r="S223" t="s">
        <v>32</v>
      </c>
      <c r="T223" t="s">
        <v>33</v>
      </c>
      <c r="U223" t="s">
        <v>335</v>
      </c>
      <c r="V223" t="s">
        <v>153</v>
      </c>
      <c r="W223" t="s">
        <v>392</v>
      </c>
      <c r="X223" t="s">
        <v>393</v>
      </c>
      <c r="Y223" t="s">
        <v>394</v>
      </c>
      <c r="Z223" t="s">
        <v>395</v>
      </c>
      <c r="AA223">
        <v>-2.0406102042000001</v>
      </c>
      <c r="AB223">
        <v>-79.914018207300003</v>
      </c>
      <c r="AC223">
        <v>0</v>
      </c>
      <c r="AD223">
        <f>+VLOOKUP(L223,Evalua!$G$2:$H$12,2,0)</f>
        <v>1</v>
      </c>
      <c r="AE223">
        <f>+VLOOKUP(M223,Evalua!$G$2:$H$12,2,0)</f>
        <v>2</v>
      </c>
    </row>
    <row r="224" spans="1:31" hidden="1" x14ac:dyDescent="0.2">
      <c r="A224" s="1" t="s">
        <v>286</v>
      </c>
      <c r="B224" t="s">
        <v>229</v>
      </c>
      <c r="E224" s="3" t="s">
        <v>2006</v>
      </c>
      <c r="G224" t="s">
        <v>98</v>
      </c>
      <c r="H224" t="s">
        <v>153</v>
      </c>
      <c r="I224" t="s">
        <v>26</v>
      </c>
      <c r="J224" t="s">
        <v>99</v>
      </c>
      <c r="K224" t="s">
        <v>46</v>
      </c>
      <c r="L224" t="s">
        <v>28</v>
      </c>
      <c r="M224" t="s">
        <v>29</v>
      </c>
      <c r="N224" t="str">
        <f>+VLOOKUP(A224,[1]Buscador!$B:$E,4,0)</f>
        <v>Guayaquil</v>
      </c>
      <c r="O224" t="str">
        <f>+VLOOKUP(A224,[1]Buscador!$B:$F,5,0)</f>
        <v>Guayas</v>
      </c>
      <c r="P224" t="s">
        <v>153</v>
      </c>
      <c r="S224" t="s">
        <v>32</v>
      </c>
      <c r="T224" t="s">
        <v>33</v>
      </c>
      <c r="U224" t="s">
        <v>229</v>
      </c>
      <c r="V224" t="s">
        <v>153</v>
      </c>
      <c r="W224" t="s">
        <v>287</v>
      </c>
      <c r="X224" t="s">
        <v>288</v>
      </c>
      <c r="Y224" t="s">
        <v>289</v>
      </c>
      <c r="Z224" t="s">
        <v>290</v>
      </c>
      <c r="AA224">
        <v>-2.0639911781000002</v>
      </c>
      <c r="AB224">
        <v>-79.908123080699994</v>
      </c>
      <c r="AC224">
        <v>0</v>
      </c>
      <c r="AD224">
        <f>+VLOOKUP(L224,Evalua!$G$2:$H$12,2,0)</f>
        <v>1</v>
      </c>
      <c r="AE224">
        <f>+VLOOKUP(M224,Evalua!$G$2:$H$12,2,0)</f>
        <v>2</v>
      </c>
    </row>
    <row r="225" spans="1:31" hidden="1" x14ac:dyDescent="0.2">
      <c r="A225" s="1" t="s">
        <v>861</v>
      </c>
      <c r="B225" t="s">
        <v>807</v>
      </c>
      <c r="G225" t="s">
        <v>98</v>
      </c>
      <c r="H225" t="s">
        <v>153</v>
      </c>
      <c r="I225" t="s">
        <v>26</v>
      </c>
      <c r="J225" t="s">
        <v>99</v>
      </c>
      <c r="K225" t="s">
        <v>27</v>
      </c>
      <c r="L225" t="s">
        <v>28</v>
      </c>
      <c r="M225" t="s">
        <v>29</v>
      </c>
      <c r="N225" t="str">
        <f>+VLOOKUP(A225,[1]Buscador!$B:$E,4,0)</f>
        <v>El Condado</v>
      </c>
      <c r="O225" t="str">
        <f>+VLOOKUP(A225,[1]Buscador!$B:$F,5,0)</f>
        <v>Pichincha</v>
      </c>
      <c r="P225" t="s">
        <v>31</v>
      </c>
      <c r="S225" t="s">
        <v>32</v>
      </c>
      <c r="T225" t="s">
        <v>33</v>
      </c>
      <c r="U225" t="s">
        <v>807</v>
      </c>
      <c r="V225" t="s">
        <v>153</v>
      </c>
      <c r="W225" t="s">
        <v>862</v>
      </c>
      <c r="X225" t="s">
        <v>863</v>
      </c>
      <c r="Y225" t="s">
        <v>864</v>
      </c>
      <c r="Z225" t="s">
        <v>865</v>
      </c>
      <c r="AA225">
        <v>-9.5497525200000002E-2</v>
      </c>
      <c r="AB225">
        <v>-78.488602004399993</v>
      </c>
      <c r="AC225">
        <v>0</v>
      </c>
      <c r="AD225">
        <f>+VLOOKUP(L225,Evalua!$G$2:$H$12,2,0)</f>
        <v>1</v>
      </c>
      <c r="AE225">
        <f>+VLOOKUP(M225,Evalua!$G$2:$H$12,2,0)</f>
        <v>2</v>
      </c>
    </row>
    <row r="226" spans="1:31" hidden="1" x14ac:dyDescent="0.2">
      <c r="A226" s="1" t="s">
        <v>349</v>
      </c>
      <c r="B226" t="s">
        <v>293</v>
      </c>
      <c r="E226" s="3" t="s">
        <v>2000</v>
      </c>
      <c r="G226" t="s">
        <v>98</v>
      </c>
      <c r="H226" t="s">
        <v>153</v>
      </c>
      <c r="I226" t="s">
        <v>26</v>
      </c>
      <c r="J226" t="s">
        <v>99</v>
      </c>
      <c r="K226" t="s">
        <v>46</v>
      </c>
      <c r="L226" t="s">
        <v>28</v>
      </c>
      <c r="M226" t="s">
        <v>29</v>
      </c>
      <c r="N226" t="str">
        <f>+VLOOKUP(A226,[1]Buscador!$B:$E,4,0)</f>
        <v>Guayaquil</v>
      </c>
      <c r="O226" t="str">
        <f>+VLOOKUP(A226,[1]Buscador!$B:$F,5,0)</f>
        <v>Guayas</v>
      </c>
      <c r="P226" t="s">
        <v>31</v>
      </c>
      <c r="S226" t="s">
        <v>32</v>
      </c>
      <c r="T226" t="s">
        <v>33</v>
      </c>
      <c r="U226" t="s">
        <v>293</v>
      </c>
      <c r="V226" t="s">
        <v>153</v>
      </c>
      <c r="W226" t="s">
        <v>350</v>
      </c>
      <c r="X226" t="s">
        <v>351</v>
      </c>
      <c r="Y226" t="s">
        <v>352</v>
      </c>
      <c r="Z226" t="s">
        <v>353</v>
      </c>
      <c r="AA226">
        <v>-2.0274252138</v>
      </c>
      <c r="AB226">
        <v>-79.950484750399994</v>
      </c>
      <c r="AC226">
        <v>0</v>
      </c>
      <c r="AD226">
        <f>+VLOOKUP(L226,Evalua!$G$2:$H$12,2,0)</f>
        <v>1</v>
      </c>
      <c r="AE226">
        <f>+VLOOKUP(M226,Evalua!$G$2:$H$12,2,0)</f>
        <v>2</v>
      </c>
    </row>
    <row r="227" spans="1:31" hidden="1" x14ac:dyDescent="0.2">
      <c r="A227" s="1" t="s">
        <v>902</v>
      </c>
      <c r="B227" t="s">
        <v>847</v>
      </c>
      <c r="G227" t="s">
        <v>98</v>
      </c>
      <c r="H227" t="s">
        <v>153</v>
      </c>
      <c r="I227" t="s">
        <v>26</v>
      </c>
      <c r="J227" t="s">
        <v>99</v>
      </c>
      <c r="K227" t="s">
        <v>27</v>
      </c>
      <c r="L227" t="s">
        <v>28</v>
      </c>
      <c r="M227" t="s">
        <v>29</v>
      </c>
      <c r="N227" t="str">
        <f>+VLOOKUP(A227,[1]Buscador!$B:$E,4,0)</f>
        <v>Comuna Miraflores</v>
      </c>
      <c r="O227" t="str">
        <f>+VLOOKUP(A227,[1]Buscador!$B:$F,5,0)</f>
        <v>Pichincha</v>
      </c>
      <c r="P227" t="s">
        <v>31</v>
      </c>
      <c r="S227" t="s">
        <v>32</v>
      </c>
      <c r="T227" t="s">
        <v>33</v>
      </c>
      <c r="U227" t="s">
        <v>847</v>
      </c>
      <c r="V227" t="s">
        <v>153</v>
      </c>
      <c r="W227" t="s">
        <v>903</v>
      </c>
      <c r="X227" t="s">
        <v>904</v>
      </c>
      <c r="Y227" t="s">
        <v>905</v>
      </c>
      <c r="Z227" t="s">
        <v>906</v>
      </c>
      <c r="AA227">
        <v>-0.159998</v>
      </c>
      <c r="AB227">
        <v>-78.466533999999996</v>
      </c>
      <c r="AC227">
        <v>0</v>
      </c>
      <c r="AD227">
        <f>+VLOOKUP(L227,Evalua!$G$2:$H$12,2,0)</f>
        <v>1</v>
      </c>
      <c r="AE227">
        <f>+VLOOKUP(M227,Evalua!$G$2:$H$12,2,0)</f>
        <v>2</v>
      </c>
    </row>
    <row r="228" spans="1:31" hidden="1" x14ac:dyDescent="0.2">
      <c r="A228" s="1" t="s">
        <v>1000</v>
      </c>
      <c r="B228" t="s">
        <v>943</v>
      </c>
      <c r="E228" s="3" t="s">
        <v>1998</v>
      </c>
      <c r="G228" t="s">
        <v>98</v>
      </c>
      <c r="H228" t="s">
        <v>153</v>
      </c>
      <c r="I228" t="s">
        <v>26</v>
      </c>
      <c r="J228" t="s">
        <v>99</v>
      </c>
      <c r="K228" t="s">
        <v>46</v>
      </c>
      <c r="L228" t="s">
        <v>28</v>
      </c>
      <c r="M228" t="s">
        <v>29</v>
      </c>
      <c r="N228" t="str">
        <f>+VLOOKUP(A228,[1]Buscador!$B:$E,4,0)</f>
        <v>Guayaquil</v>
      </c>
      <c r="O228" t="str">
        <f>+VLOOKUP(A228,[1]Buscador!$B:$F,5,0)</f>
        <v>Guayas</v>
      </c>
      <c r="P228" t="s">
        <v>31</v>
      </c>
      <c r="S228" t="s">
        <v>32</v>
      </c>
      <c r="T228" t="s">
        <v>33</v>
      </c>
      <c r="U228" t="s">
        <v>943</v>
      </c>
      <c r="V228" t="s">
        <v>153</v>
      </c>
      <c r="W228" t="s">
        <v>1001</v>
      </c>
      <c r="X228" t="s">
        <v>1002</v>
      </c>
      <c r="Y228" t="s">
        <v>1003</v>
      </c>
      <c r="Z228" t="s">
        <v>1004</v>
      </c>
      <c r="AA228">
        <v>-2.1821769815000001</v>
      </c>
      <c r="AB228">
        <v>-79.985473965599994</v>
      </c>
      <c r="AC228">
        <v>0</v>
      </c>
      <c r="AD228">
        <f>+VLOOKUP(L228,Evalua!$G$2:$H$12,2,0)</f>
        <v>1</v>
      </c>
      <c r="AE228">
        <f>+VLOOKUP(M228,Evalua!$G$2:$H$12,2,0)</f>
        <v>2</v>
      </c>
    </row>
    <row r="229" spans="1:31" hidden="1" x14ac:dyDescent="0.2">
      <c r="A229" s="1" t="s">
        <v>270</v>
      </c>
      <c r="B229" t="s">
        <v>214</v>
      </c>
      <c r="D229" t="s">
        <v>1995</v>
      </c>
      <c r="E229" t="s">
        <v>1998</v>
      </c>
      <c r="G229" t="s">
        <v>98</v>
      </c>
      <c r="H229" t="s">
        <v>153</v>
      </c>
      <c r="I229" t="s">
        <v>26</v>
      </c>
      <c r="J229" t="s">
        <v>99</v>
      </c>
      <c r="K229" t="s">
        <v>183</v>
      </c>
      <c r="L229" t="s">
        <v>81</v>
      </c>
      <c r="M229" t="s">
        <v>160</v>
      </c>
      <c r="N229" t="str">
        <f>+VLOOKUP(A229,[1]Buscador!$B:$E,4,0)</f>
        <v>Babahoyo</v>
      </c>
      <c r="O229" t="str">
        <f>+VLOOKUP(A229,[1]Buscador!$B:$F,5,0)</f>
        <v>Los Ríos</v>
      </c>
      <c r="P229" t="s">
        <v>31</v>
      </c>
      <c r="S229" t="s">
        <v>208</v>
      </c>
      <c r="T229" t="s">
        <v>126</v>
      </c>
      <c r="U229" t="s">
        <v>214</v>
      </c>
      <c r="V229" t="s">
        <v>153</v>
      </c>
      <c r="W229" t="s">
        <v>272</v>
      </c>
      <c r="X229" t="s">
        <v>273</v>
      </c>
      <c r="Y229" t="s">
        <v>274</v>
      </c>
      <c r="Z229" t="s">
        <v>275</v>
      </c>
      <c r="AA229">
        <v>-1.799965</v>
      </c>
      <c r="AB229">
        <v>-79.531699000000003</v>
      </c>
      <c r="AC229">
        <v>0</v>
      </c>
      <c r="AD229">
        <f>+VLOOKUP(L229,Evalua!$G$2:$H$12,2,0)</f>
        <v>3</v>
      </c>
      <c r="AE229">
        <f>+VLOOKUP(M229,Evalua!$G$2:$H$12,2,0)</f>
        <v>1</v>
      </c>
    </row>
    <row r="230" spans="1:31" hidden="1" x14ac:dyDescent="0.2">
      <c r="A230" s="1" t="s">
        <v>411</v>
      </c>
      <c r="B230" t="s">
        <v>355</v>
      </c>
      <c r="E230" s="3" t="s">
        <v>2006</v>
      </c>
      <c r="G230" t="s">
        <v>98</v>
      </c>
      <c r="H230" t="s">
        <v>153</v>
      </c>
      <c r="I230" t="s">
        <v>26</v>
      </c>
      <c r="J230" t="s">
        <v>99</v>
      </c>
      <c r="K230" t="s">
        <v>46</v>
      </c>
      <c r="L230" t="s">
        <v>28</v>
      </c>
      <c r="M230" t="s">
        <v>29</v>
      </c>
      <c r="N230" t="str">
        <f>+VLOOKUP(A230,[1]Buscador!$B:$E,4,0)</f>
        <v>Durán</v>
      </c>
      <c r="O230" t="str">
        <f>+VLOOKUP(A230,[1]Buscador!$B:$F,5,0)</f>
        <v>Guayas</v>
      </c>
      <c r="P230" t="s">
        <v>31</v>
      </c>
      <c r="S230" t="s">
        <v>32</v>
      </c>
      <c r="T230" t="s">
        <v>33</v>
      </c>
      <c r="U230" t="s">
        <v>355</v>
      </c>
      <c r="V230" t="s">
        <v>153</v>
      </c>
      <c r="W230" t="s">
        <v>412</v>
      </c>
      <c r="X230" t="s">
        <v>413</v>
      </c>
      <c r="Y230" t="s">
        <v>414</v>
      </c>
      <c r="Z230" t="s">
        <v>415</v>
      </c>
      <c r="AA230">
        <v>-2.1880299094</v>
      </c>
      <c r="AB230">
        <v>-79.827955918599997</v>
      </c>
      <c r="AC230">
        <v>0</v>
      </c>
      <c r="AD230">
        <f>+VLOOKUP(L230,Evalua!$G$2:$H$12,2,0)</f>
        <v>1</v>
      </c>
      <c r="AE230">
        <f>+VLOOKUP(M230,Evalua!$G$2:$H$12,2,0)</f>
        <v>2</v>
      </c>
    </row>
    <row r="231" spans="1:31" hidden="1" x14ac:dyDescent="0.2">
      <c r="A231" s="1" t="s">
        <v>735</v>
      </c>
      <c r="B231" t="s">
        <v>680</v>
      </c>
      <c r="D231" t="s">
        <v>1990</v>
      </c>
      <c r="E231" t="s">
        <v>2021</v>
      </c>
      <c r="G231" t="s">
        <v>98</v>
      </c>
      <c r="H231" t="s">
        <v>153</v>
      </c>
      <c r="I231" t="s">
        <v>26</v>
      </c>
      <c r="J231" t="s">
        <v>99</v>
      </c>
      <c r="K231" t="s">
        <v>27</v>
      </c>
      <c r="L231" t="s">
        <v>28</v>
      </c>
      <c r="M231" t="s">
        <v>29</v>
      </c>
      <c r="N231" t="str">
        <f>+VLOOKUP(A231,[1]Buscador!$B:$E,4,0)</f>
        <v>Ambato</v>
      </c>
      <c r="O231" t="str">
        <f>+VLOOKUP(A231,[1]Buscador!$B:$F,5,0)</f>
        <v>Tungurahua</v>
      </c>
      <c r="P231" t="s">
        <v>31</v>
      </c>
      <c r="S231" t="s">
        <v>32</v>
      </c>
      <c r="T231" t="s">
        <v>33</v>
      </c>
      <c r="U231" t="s">
        <v>680</v>
      </c>
      <c r="V231" t="s">
        <v>153</v>
      </c>
      <c r="W231" t="s">
        <v>736</v>
      </c>
      <c r="X231" t="s">
        <v>737</v>
      </c>
      <c r="Y231" t="s">
        <v>738</v>
      </c>
      <c r="Z231" t="s">
        <v>739</v>
      </c>
      <c r="AA231">
        <v>-1.2716069271999999</v>
      </c>
      <c r="AB231">
        <v>-78.611886546700006</v>
      </c>
      <c r="AC231">
        <v>0</v>
      </c>
      <c r="AD231">
        <f>+VLOOKUP(L231,Evalua!$G$2:$H$12,2,0)</f>
        <v>1</v>
      </c>
      <c r="AE231">
        <f>+VLOOKUP(M231,Evalua!$G$2:$H$12,2,0)</f>
        <v>2</v>
      </c>
    </row>
    <row r="232" spans="1:31" hidden="1" x14ac:dyDescent="0.2">
      <c r="A232" s="1" t="s">
        <v>689</v>
      </c>
      <c r="B232" t="s">
        <v>634</v>
      </c>
      <c r="E232" s="3" t="s">
        <v>2006</v>
      </c>
      <c r="G232" t="s">
        <v>98</v>
      </c>
      <c r="H232" t="s">
        <v>153</v>
      </c>
      <c r="I232" t="s">
        <v>26</v>
      </c>
      <c r="J232" t="s">
        <v>99</v>
      </c>
      <c r="K232" t="s">
        <v>46</v>
      </c>
      <c r="L232" t="s">
        <v>28</v>
      </c>
      <c r="M232" t="s">
        <v>29</v>
      </c>
      <c r="N232" t="str">
        <f>+VLOOKUP(A232,[1]Buscador!$B:$E,4,0)</f>
        <v>Guayaquil</v>
      </c>
      <c r="O232" t="str">
        <f>+VLOOKUP(A232,[1]Buscador!$B:$F,5,0)</f>
        <v>Guayas</v>
      </c>
      <c r="P232" t="s">
        <v>153</v>
      </c>
      <c r="S232" t="s">
        <v>32</v>
      </c>
      <c r="T232" t="s">
        <v>33</v>
      </c>
      <c r="U232" t="s">
        <v>634</v>
      </c>
      <c r="V232" t="s">
        <v>153</v>
      </c>
      <c r="W232" t="s">
        <v>690</v>
      </c>
      <c r="X232" t="s">
        <v>691</v>
      </c>
      <c r="Y232" t="s">
        <v>692</v>
      </c>
      <c r="Z232" t="s">
        <v>693</v>
      </c>
      <c r="AA232">
        <v>-2.0684900000000002</v>
      </c>
      <c r="AB232">
        <v>-79.895124999999993</v>
      </c>
      <c r="AC232">
        <v>0</v>
      </c>
      <c r="AD232">
        <f>+VLOOKUP(L232,Evalua!$G$2:$H$12,2,0)</f>
        <v>1</v>
      </c>
      <c r="AE232">
        <f>+VLOOKUP(M232,Evalua!$G$2:$H$12,2,0)</f>
        <v>2</v>
      </c>
    </row>
    <row r="233" spans="1:31" hidden="1" x14ac:dyDescent="0.2">
      <c r="A233" s="1" t="s">
        <v>1831</v>
      </c>
      <c r="B233" t="s">
        <v>1832</v>
      </c>
      <c r="G233" t="s">
        <v>246</v>
      </c>
      <c r="H233" t="s">
        <v>153</v>
      </c>
      <c r="I233" t="s">
        <v>26</v>
      </c>
      <c r="J233" t="s">
        <v>2</v>
      </c>
      <c r="K233" t="s">
        <v>194</v>
      </c>
      <c r="L233" t="s">
        <v>28</v>
      </c>
      <c r="M233" t="s">
        <v>234</v>
      </c>
      <c r="N233" t="str">
        <f>+VLOOKUP(A233,[1]Buscador!$B:$E,4,0)</f>
        <v>Santo Domingo de los Tsachilas</v>
      </c>
      <c r="O233" t="str">
        <f>+VLOOKUP(A233,[1]Buscador!$B:$F,5,0)</f>
        <v>Santo Domingo de los Tsáchilas</v>
      </c>
      <c r="P233" t="s">
        <v>31</v>
      </c>
      <c r="S233" t="s">
        <v>729</v>
      </c>
      <c r="T233" t="s">
        <v>730</v>
      </c>
      <c r="U233" t="s">
        <v>195</v>
      </c>
      <c r="V233" t="s">
        <v>153</v>
      </c>
      <c r="X233" t="s">
        <v>1833</v>
      </c>
      <c r="Z233" t="s">
        <v>1961</v>
      </c>
      <c r="AA233">
        <v>-0.25177914970624998</v>
      </c>
      <c r="AB233">
        <v>-79.164858575815003</v>
      </c>
      <c r="AC233">
        <v>0</v>
      </c>
      <c r="AD233">
        <f>+VLOOKUP(L233,Evalua!$G$2:$H$12,2,0)</f>
        <v>1</v>
      </c>
      <c r="AE233">
        <f>+VLOOKUP(M233,Evalua!$G$2:$H$12,2,0)</f>
        <v>3</v>
      </c>
    </row>
    <row r="234" spans="1:31" hidden="1" x14ac:dyDescent="0.2">
      <c r="A234" s="1" t="s">
        <v>957</v>
      </c>
      <c r="B234" t="s">
        <v>903</v>
      </c>
      <c r="G234" t="s">
        <v>98</v>
      </c>
      <c r="H234" t="s">
        <v>153</v>
      </c>
      <c r="I234" t="s">
        <v>26</v>
      </c>
      <c r="J234" t="s">
        <v>99</v>
      </c>
      <c r="K234" t="s">
        <v>27</v>
      </c>
      <c r="L234" t="s">
        <v>28</v>
      </c>
      <c r="M234" t="s">
        <v>29</v>
      </c>
      <c r="N234" t="str">
        <f>+VLOOKUP(A234,[1]Buscador!$B:$E,4,0)</f>
        <v>Quito</v>
      </c>
      <c r="O234" t="str">
        <f>+VLOOKUP(A234,[1]Buscador!$B:$F,5,0)</f>
        <v>Pichincha</v>
      </c>
      <c r="P234" t="s">
        <v>31</v>
      </c>
      <c r="S234" t="s">
        <v>32</v>
      </c>
      <c r="T234" t="s">
        <v>33</v>
      </c>
      <c r="U234" t="s">
        <v>903</v>
      </c>
      <c r="V234" t="s">
        <v>153</v>
      </c>
      <c r="W234" t="s">
        <v>958</v>
      </c>
      <c r="X234" t="s">
        <v>959</v>
      </c>
      <c r="Y234" t="s">
        <v>960</v>
      </c>
      <c r="Z234" t="s">
        <v>961</v>
      </c>
      <c r="AA234">
        <v>-0.1660392376</v>
      </c>
      <c r="AB234">
        <v>-78.476094563900006</v>
      </c>
      <c r="AC234">
        <v>0</v>
      </c>
      <c r="AD234">
        <f>+VLOOKUP(L234,Evalua!$G$2:$H$12,2,0)</f>
        <v>1</v>
      </c>
      <c r="AE234">
        <f>+VLOOKUP(M234,Evalua!$G$2:$H$12,2,0)</f>
        <v>2</v>
      </c>
    </row>
    <row r="235" spans="1:31" hidden="1" x14ac:dyDescent="0.2">
      <c r="A235" s="1" t="s">
        <v>1329</v>
      </c>
      <c r="B235" t="s">
        <v>1330</v>
      </c>
      <c r="D235" t="s">
        <v>2002</v>
      </c>
      <c r="E235" t="s">
        <v>2001</v>
      </c>
      <c r="G235" t="s">
        <v>1309</v>
      </c>
      <c r="H235" t="s">
        <v>153</v>
      </c>
      <c r="I235" t="s">
        <v>26</v>
      </c>
      <c r="J235" t="s">
        <v>2</v>
      </c>
      <c r="K235" t="s">
        <v>46</v>
      </c>
      <c r="L235" t="s">
        <v>28</v>
      </c>
      <c r="M235" t="s">
        <v>29</v>
      </c>
      <c r="N235" t="str">
        <f>+VLOOKUP(A235,[1]Buscador!$B:$E,4,0)</f>
        <v>Guayaquil</v>
      </c>
      <c r="O235" t="str">
        <f>+VLOOKUP(A235,[1]Buscador!$B:$F,5,0)</f>
        <v>Guayas</v>
      </c>
      <c r="P235" t="s">
        <v>31</v>
      </c>
      <c r="S235" t="s">
        <v>32</v>
      </c>
      <c r="T235" t="s">
        <v>33</v>
      </c>
      <c r="U235" t="s">
        <v>1208</v>
      </c>
      <c r="V235" t="s">
        <v>153</v>
      </c>
      <c r="W235" t="s">
        <v>1331</v>
      </c>
      <c r="X235" t="s">
        <v>1332</v>
      </c>
      <c r="Y235" t="s">
        <v>1333</v>
      </c>
      <c r="Z235" t="s">
        <v>1313</v>
      </c>
      <c r="AA235">
        <v>-2.1901574203999998</v>
      </c>
      <c r="AB235">
        <v>-79.879891601500006</v>
      </c>
      <c r="AC235">
        <v>0</v>
      </c>
      <c r="AD235">
        <f>+VLOOKUP(L235,Evalua!$G$2:$H$12,2,0)</f>
        <v>1</v>
      </c>
      <c r="AE235">
        <f>+VLOOKUP(M235,Evalua!$G$2:$H$12,2,0)</f>
        <v>2</v>
      </c>
    </row>
    <row r="236" spans="1:31" hidden="1" x14ac:dyDescent="0.2">
      <c r="A236" s="1" t="s">
        <v>1334</v>
      </c>
      <c r="B236" t="s">
        <v>1335</v>
      </c>
      <c r="D236" t="s">
        <v>2002</v>
      </c>
      <c r="E236" t="s">
        <v>2001</v>
      </c>
      <c r="G236" t="s">
        <v>1309</v>
      </c>
      <c r="H236" t="s">
        <v>153</v>
      </c>
      <c r="I236" t="s">
        <v>26</v>
      </c>
      <c r="J236" t="s">
        <v>2</v>
      </c>
      <c r="K236" t="s">
        <v>46</v>
      </c>
      <c r="L236" t="s">
        <v>28</v>
      </c>
      <c r="M236" t="s">
        <v>29</v>
      </c>
      <c r="N236" t="str">
        <f>+VLOOKUP(A236,[1]Buscador!$B:$E,4,0)</f>
        <v>Guayaquil</v>
      </c>
      <c r="O236" t="str">
        <f>+VLOOKUP(A236,[1]Buscador!$B:$F,5,0)</f>
        <v>Guayas</v>
      </c>
      <c r="P236" t="s">
        <v>31</v>
      </c>
      <c r="S236" t="s">
        <v>32</v>
      </c>
      <c r="T236" t="s">
        <v>33</v>
      </c>
      <c r="U236" t="s">
        <v>1208</v>
      </c>
      <c r="V236" t="s">
        <v>153</v>
      </c>
      <c r="W236" t="s">
        <v>1336</v>
      </c>
      <c r="X236" t="s">
        <v>1337</v>
      </c>
      <c r="Y236" t="s">
        <v>1338</v>
      </c>
      <c r="Z236" t="s">
        <v>1313</v>
      </c>
      <c r="AA236">
        <v>-2.1901574203999998</v>
      </c>
      <c r="AB236">
        <v>-79.879891601500006</v>
      </c>
      <c r="AC236">
        <v>0</v>
      </c>
      <c r="AD236">
        <f>+VLOOKUP(L236,Evalua!$G$2:$H$12,2,0)</f>
        <v>1</v>
      </c>
      <c r="AE236">
        <f>+VLOOKUP(M236,Evalua!$G$2:$H$12,2,0)</f>
        <v>2</v>
      </c>
    </row>
    <row r="237" spans="1:31" hidden="1" x14ac:dyDescent="0.2">
      <c r="A237" s="1" t="s">
        <v>750</v>
      </c>
      <c r="B237" t="s">
        <v>695</v>
      </c>
      <c r="E237" s="3" t="s">
        <v>2001</v>
      </c>
      <c r="G237" t="s">
        <v>98</v>
      </c>
      <c r="H237" t="s">
        <v>153</v>
      </c>
      <c r="I237" t="s">
        <v>26</v>
      </c>
      <c r="J237" t="s">
        <v>99</v>
      </c>
      <c r="K237" t="s">
        <v>46</v>
      </c>
      <c r="L237" t="s">
        <v>28</v>
      </c>
      <c r="M237" t="s">
        <v>29</v>
      </c>
      <c r="N237" t="str">
        <f>+VLOOKUP(A237,[1]Buscador!$B:$E,4,0)</f>
        <v>Guayaquil</v>
      </c>
      <c r="O237" t="str">
        <f>+VLOOKUP(A237,[1]Buscador!$B:$F,5,0)</f>
        <v>Guayas</v>
      </c>
      <c r="P237" t="s">
        <v>153</v>
      </c>
      <c r="S237" t="s">
        <v>32</v>
      </c>
      <c r="T237" t="s">
        <v>33</v>
      </c>
      <c r="U237" t="s">
        <v>695</v>
      </c>
      <c r="V237" t="s">
        <v>153</v>
      </c>
      <c r="W237" t="s">
        <v>751</v>
      </c>
      <c r="X237" t="s">
        <v>752</v>
      </c>
      <c r="Y237" t="s">
        <v>753</v>
      </c>
      <c r="Z237" t="s">
        <v>754</v>
      </c>
      <c r="AA237">
        <v>-2.1258792327</v>
      </c>
      <c r="AB237">
        <v>-79.933447138899993</v>
      </c>
      <c r="AC237">
        <v>0</v>
      </c>
      <c r="AD237">
        <f>+VLOOKUP(L237,Evalua!$G$2:$H$12,2,0)</f>
        <v>1</v>
      </c>
      <c r="AE237">
        <f>+VLOOKUP(M237,Evalua!$G$2:$H$12,2,0)</f>
        <v>2</v>
      </c>
    </row>
    <row r="238" spans="1:31" hidden="1" x14ac:dyDescent="0.2">
      <c r="A238" s="1" t="s">
        <v>1636</v>
      </c>
      <c r="B238" t="s">
        <v>1637</v>
      </c>
      <c r="D238" t="s">
        <v>2002</v>
      </c>
      <c r="E238" t="s">
        <v>2001</v>
      </c>
      <c r="G238" t="s">
        <v>1309</v>
      </c>
      <c r="H238" t="s">
        <v>153</v>
      </c>
      <c r="I238" t="s">
        <v>26</v>
      </c>
      <c r="J238" t="s">
        <v>2</v>
      </c>
      <c r="K238" t="s">
        <v>46</v>
      </c>
      <c r="L238" t="s">
        <v>28</v>
      </c>
      <c r="M238" t="s">
        <v>29</v>
      </c>
      <c r="N238" t="str">
        <f>+VLOOKUP(A238,[1]Buscador!$B:$E,4,0)</f>
        <v>Guayaquil</v>
      </c>
      <c r="O238" t="str">
        <f>+VLOOKUP(A238,[1]Buscador!$B:$F,5,0)</f>
        <v>Guayas</v>
      </c>
      <c r="P238" t="s">
        <v>31</v>
      </c>
      <c r="S238" t="s">
        <v>32</v>
      </c>
      <c r="T238" t="s">
        <v>33</v>
      </c>
      <c r="U238" t="s">
        <v>1377</v>
      </c>
      <c r="V238" t="s">
        <v>153</v>
      </c>
      <c r="X238" t="s">
        <v>1638</v>
      </c>
      <c r="Z238" t="s">
        <v>1934</v>
      </c>
      <c r="AA238">
        <v>-2.1899148432515001</v>
      </c>
      <c r="AB238">
        <v>-79.879941750821999</v>
      </c>
      <c r="AC238">
        <v>0</v>
      </c>
      <c r="AD238">
        <f>+VLOOKUP(L238,Evalua!$G$2:$H$12,2,0)</f>
        <v>1</v>
      </c>
      <c r="AE238">
        <f>+VLOOKUP(M238,Evalua!$G$2:$H$12,2,0)</f>
        <v>2</v>
      </c>
    </row>
    <row r="239" spans="1:31" hidden="1" x14ac:dyDescent="0.2">
      <c r="A239" s="1" t="s">
        <v>1091</v>
      </c>
      <c r="B239" t="s">
        <v>1036</v>
      </c>
      <c r="G239" t="s">
        <v>98</v>
      </c>
      <c r="H239" t="s">
        <v>153</v>
      </c>
      <c r="I239" t="s">
        <v>26</v>
      </c>
      <c r="J239" t="s">
        <v>99</v>
      </c>
      <c r="K239" t="s">
        <v>27</v>
      </c>
      <c r="L239" t="s">
        <v>28</v>
      </c>
      <c r="M239" t="s">
        <v>29</v>
      </c>
      <c r="N239" t="str">
        <f>+VLOOKUP(A239,[1]Buscador!$B:$E,4,0)</f>
        <v>Carapungo</v>
      </c>
      <c r="O239" t="str">
        <f>+VLOOKUP(A239,[1]Buscador!$B:$F,5,0)</f>
        <v>Pichincha</v>
      </c>
      <c r="P239" t="s">
        <v>31</v>
      </c>
      <c r="S239" t="s">
        <v>32</v>
      </c>
      <c r="T239" t="s">
        <v>33</v>
      </c>
      <c r="U239" t="s">
        <v>1036</v>
      </c>
      <c r="V239" t="s">
        <v>153</v>
      </c>
      <c r="W239" t="s">
        <v>1092</v>
      </c>
      <c r="X239" t="s">
        <v>1093</v>
      </c>
      <c r="Y239" t="s">
        <v>1094</v>
      </c>
      <c r="Z239" t="s">
        <v>1095</v>
      </c>
      <c r="AA239">
        <v>-0.1093187117</v>
      </c>
      <c r="AB239">
        <v>-78.4450855467</v>
      </c>
      <c r="AC239">
        <v>0</v>
      </c>
      <c r="AD239">
        <f>+VLOOKUP(L239,Evalua!$G$2:$H$12,2,0)</f>
        <v>1</v>
      </c>
      <c r="AE239">
        <f>+VLOOKUP(M239,Evalua!$G$2:$H$12,2,0)</f>
        <v>2</v>
      </c>
    </row>
    <row r="240" spans="1:31" hidden="1" x14ac:dyDescent="0.2">
      <c r="A240" s="1" t="s">
        <v>104</v>
      </c>
      <c r="B240" t="s">
        <v>105</v>
      </c>
      <c r="D240" t="s">
        <v>1990</v>
      </c>
      <c r="E240" t="s">
        <v>1997</v>
      </c>
      <c r="G240" t="s">
        <v>106</v>
      </c>
      <c r="H240" t="s">
        <v>153</v>
      </c>
      <c r="I240" t="s">
        <v>26</v>
      </c>
      <c r="J240" t="s">
        <v>2</v>
      </c>
      <c r="K240" t="s">
        <v>46</v>
      </c>
      <c r="L240" t="s">
        <v>28</v>
      </c>
      <c r="M240" t="s">
        <v>29</v>
      </c>
      <c r="N240" t="str">
        <f>+VLOOKUP(A240,[1]Buscador!$B:$E,4,0)</f>
        <v>Guayaquil</v>
      </c>
      <c r="O240" t="str">
        <f>+VLOOKUP(A240,[1]Buscador!$B:$F,5,0)</f>
        <v>Guayas</v>
      </c>
      <c r="P240" t="s">
        <v>31</v>
      </c>
      <c r="S240" t="s">
        <v>32</v>
      </c>
      <c r="T240" t="s">
        <v>33</v>
      </c>
      <c r="U240" t="s">
        <v>70</v>
      </c>
      <c r="V240" t="s">
        <v>153</v>
      </c>
      <c r="W240" t="s">
        <v>107</v>
      </c>
      <c r="X240" t="s">
        <v>108</v>
      </c>
      <c r="Y240" t="s">
        <v>109</v>
      </c>
      <c r="Z240" t="s">
        <v>103</v>
      </c>
      <c r="AA240">
        <v>-2.1477533986999999</v>
      </c>
      <c r="AB240">
        <v>-79.8998586429</v>
      </c>
      <c r="AC240">
        <v>0</v>
      </c>
      <c r="AD240">
        <f>+VLOOKUP(L240,Evalua!$G$2:$H$12,2,0)</f>
        <v>1</v>
      </c>
      <c r="AE240">
        <f>+VLOOKUP(M240,Evalua!$G$2:$H$12,2,0)</f>
        <v>2</v>
      </c>
    </row>
    <row r="241" spans="1:31" hidden="1" x14ac:dyDescent="0.2">
      <c r="A241" s="1" t="s">
        <v>344</v>
      </c>
      <c r="B241" t="s">
        <v>287</v>
      </c>
      <c r="G241" t="s">
        <v>98</v>
      </c>
      <c r="H241" t="s">
        <v>153</v>
      </c>
      <c r="I241" t="s">
        <v>26</v>
      </c>
      <c r="J241" t="s">
        <v>99</v>
      </c>
      <c r="K241" t="s">
        <v>159</v>
      </c>
      <c r="L241" t="s">
        <v>28</v>
      </c>
      <c r="M241" t="s">
        <v>29</v>
      </c>
      <c r="N241" t="str">
        <f>+VLOOKUP(A241,[1]Buscador!$B:$E,4,0)</f>
        <v>Cuenca</v>
      </c>
      <c r="O241" t="str">
        <f>+VLOOKUP(A241,[1]Buscador!$B:$F,5,0)</f>
        <v>Azuay</v>
      </c>
      <c r="P241" t="s">
        <v>31</v>
      </c>
      <c r="S241" t="s">
        <v>32</v>
      </c>
      <c r="T241" t="s">
        <v>33</v>
      </c>
      <c r="U241" t="s">
        <v>287</v>
      </c>
      <c r="V241" t="s">
        <v>153</v>
      </c>
      <c r="W241" t="s">
        <v>345</v>
      </c>
      <c r="X241" t="s">
        <v>346</v>
      </c>
      <c r="Y241" t="s">
        <v>347</v>
      </c>
      <c r="Z241" t="s">
        <v>348</v>
      </c>
      <c r="AA241">
        <v>-2.8971729126999999</v>
      </c>
      <c r="AB241">
        <v>-78.976930190900006</v>
      </c>
      <c r="AC241">
        <v>0</v>
      </c>
      <c r="AD241">
        <f>+VLOOKUP(L241,Evalua!$G$2:$H$12,2,0)</f>
        <v>1</v>
      </c>
      <c r="AE241">
        <f>+VLOOKUP(M241,Evalua!$G$2:$H$12,2,0)</f>
        <v>2</v>
      </c>
    </row>
    <row r="242" spans="1:31" hidden="1" x14ac:dyDescent="0.2">
      <c r="A242" s="1" t="s">
        <v>423</v>
      </c>
      <c r="B242" t="s">
        <v>365</v>
      </c>
      <c r="E242" s="3" t="s">
        <v>2006</v>
      </c>
      <c r="G242" t="s">
        <v>98</v>
      </c>
      <c r="H242" t="s">
        <v>153</v>
      </c>
      <c r="I242" t="s">
        <v>26</v>
      </c>
      <c r="J242" t="s">
        <v>99</v>
      </c>
      <c r="K242" t="s">
        <v>46</v>
      </c>
      <c r="L242" t="s">
        <v>28</v>
      </c>
      <c r="M242" t="s">
        <v>29</v>
      </c>
      <c r="N242" t="str">
        <f>+VLOOKUP(A242,[1]Buscador!$B:$E,4,0)</f>
        <v>Samborondón</v>
      </c>
      <c r="O242" t="str">
        <f>+VLOOKUP(A242,[1]Buscador!$B:$F,5,0)</f>
        <v>Guayas</v>
      </c>
      <c r="P242" t="s">
        <v>31</v>
      </c>
      <c r="S242" t="s">
        <v>32</v>
      </c>
      <c r="T242" t="s">
        <v>33</v>
      </c>
      <c r="U242" t="s">
        <v>365</v>
      </c>
      <c r="V242" t="s">
        <v>153</v>
      </c>
      <c r="W242" t="s">
        <v>424</v>
      </c>
      <c r="X242" t="s">
        <v>425</v>
      </c>
      <c r="Y242" t="s">
        <v>426</v>
      </c>
      <c r="Z242" t="s">
        <v>427</v>
      </c>
      <c r="AA242">
        <v>-2.0383602155</v>
      </c>
      <c r="AB242">
        <v>-79.857352980200005</v>
      </c>
      <c r="AC242">
        <v>0</v>
      </c>
      <c r="AD242">
        <f>+VLOOKUP(L242,Evalua!$G$2:$H$12,2,0)</f>
        <v>1</v>
      </c>
      <c r="AE242">
        <f>+VLOOKUP(M242,Evalua!$G$2:$H$12,2,0)</f>
        <v>2</v>
      </c>
    </row>
    <row r="243" spans="1:31" hidden="1" x14ac:dyDescent="0.2">
      <c r="A243" s="1" t="s">
        <v>1797</v>
      </c>
      <c r="B243" t="s">
        <v>1798</v>
      </c>
      <c r="D243" t="s">
        <v>1990</v>
      </c>
      <c r="E243" t="s">
        <v>2001</v>
      </c>
      <c r="G243" t="s">
        <v>1792</v>
      </c>
      <c r="H243" t="s">
        <v>153</v>
      </c>
      <c r="I243" t="s">
        <v>26</v>
      </c>
      <c r="J243" t="s">
        <v>2</v>
      </c>
      <c r="K243" t="s">
        <v>46</v>
      </c>
      <c r="L243" t="s">
        <v>28</v>
      </c>
      <c r="M243" t="s">
        <v>29</v>
      </c>
      <c r="N243" t="str">
        <f>+VLOOKUP(A243,[1]Buscador!$B:$E,4,0)</f>
        <v>Guayaquil</v>
      </c>
      <c r="O243" t="str">
        <f>+VLOOKUP(A243,[1]Buscador!$B:$F,5,0)</f>
        <v>Guayas</v>
      </c>
      <c r="P243" t="s">
        <v>31</v>
      </c>
      <c r="S243" t="s">
        <v>32</v>
      </c>
      <c r="T243" t="s">
        <v>33</v>
      </c>
      <c r="U243" t="s">
        <v>1502</v>
      </c>
      <c r="V243" t="s">
        <v>153</v>
      </c>
      <c r="X243" t="s">
        <v>1799</v>
      </c>
      <c r="Z243" t="s">
        <v>1957</v>
      </c>
      <c r="AA243">
        <v>-2.1775527356936002</v>
      </c>
      <c r="AB243">
        <v>-79.942488674591004</v>
      </c>
      <c r="AC243">
        <v>0</v>
      </c>
      <c r="AD243">
        <f>+VLOOKUP(L243,Evalua!$G$2:$H$12,2,0)</f>
        <v>1</v>
      </c>
      <c r="AE243">
        <f>+VLOOKUP(M243,Evalua!$G$2:$H$12,2,0)</f>
        <v>2</v>
      </c>
    </row>
    <row r="244" spans="1:31" hidden="1" x14ac:dyDescent="0.2">
      <c r="A244" s="1" t="s">
        <v>359</v>
      </c>
      <c r="B244" t="s">
        <v>305</v>
      </c>
      <c r="E244" t="s">
        <v>1997</v>
      </c>
      <c r="G244" t="s">
        <v>98</v>
      </c>
      <c r="H244" t="s">
        <v>153</v>
      </c>
      <c r="I244" t="s">
        <v>26</v>
      </c>
      <c r="J244" t="s">
        <v>99</v>
      </c>
      <c r="K244" t="s">
        <v>46</v>
      </c>
      <c r="L244" t="s">
        <v>28</v>
      </c>
      <c r="M244" t="s">
        <v>29</v>
      </c>
      <c r="N244" t="str">
        <f>+VLOOKUP(A244,[1]Buscador!$B:$E,4,0)</f>
        <v>Guayaquil</v>
      </c>
      <c r="O244" t="str">
        <f>+VLOOKUP(A244,[1]Buscador!$B:$F,5,0)</f>
        <v>Guayas</v>
      </c>
      <c r="P244" t="s">
        <v>31</v>
      </c>
      <c r="S244" t="s">
        <v>32</v>
      </c>
      <c r="T244" t="s">
        <v>33</v>
      </c>
      <c r="U244" t="s">
        <v>305</v>
      </c>
      <c r="V244" t="s">
        <v>153</v>
      </c>
      <c r="W244" t="s">
        <v>360</v>
      </c>
      <c r="X244" t="s">
        <v>361</v>
      </c>
      <c r="Y244" t="s">
        <v>362</v>
      </c>
      <c r="Z244" t="s">
        <v>363</v>
      </c>
      <c r="AA244">
        <v>-1.9981574972</v>
      </c>
      <c r="AB244">
        <v>-79.968113919700002</v>
      </c>
      <c r="AC244">
        <v>0</v>
      </c>
      <c r="AD244">
        <f>+VLOOKUP(L244,Evalua!$G$2:$H$12,2,0)</f>
        <v>1</v>
      </c>
      <c r="AE244">
        <f>+VLOOKUP(M244,Evalua!$G$2:$H$12,2,0)</f>
        <v>2</v>
      </c>
    </row>
    <row r="245" spans="1:31" hidden="1" x14ac:dyDescent="0.2">
      <c r="A245" s="1" t="s">
        <v>891</v>
      </c>
      <c r="B245" t="s">
        <v>837</v>
      </c>
      <c r="D245" t="s">
        <v>1996</v>
      </c>
      <c r="E245" t="s">
        <v>2010</v>
      </c>
      <c r="G245" t="s">
        <v>98</v>
      </c>
      <c r="H245" t="s">
        <v>153</v>
      </c>
      <c r="I245" t="s">
        <v>26</v>
      </c>
      <c r="J245" t="s">
        <v>99</v>
      </c>
      <c r="K245" t="s">
        <v>46</v>
      </c>
      <c r="L245" t="s">
        <v>28</v>
      </c>
      <c r="M245" t="s">
        <v>29</v>
      </c>
      <c r="N245" t="str">
        <f>+VLOOKUP(A245,[1]Buscador!$B:$E,4,0)</f>
        <v>Playas</v>
      </c>
      <c r="O245" t="str">
        <f>+VLOOKUP(A245,[1]Buscador!$B:$F,5,0)</f>
        <v>Guayas</v>
      </c>
      <c r="P245" t="s">
        <v>31</v>
      </c>
      <c r="S245" t="s">
        <v>32</v>
      </c>
      <c r="T245" t="s">
        <v>33</v>
      </c>
      <c r="U245" t="s">
        <v>837</v>
      </c>
      <c r="V245" t="s">
        <v>153</v>
      </c>
      <c r="W245" t="s">
        <v>893</v>
      </c>
      <c r="X245" t="s">
        <v>894</v>
      </c>
      <c r="Y245" t="s">
        <v>895</v>
      </c>
      <c r="Z245" t="s">
        <v>896</v>
      </c>
      <c r="AA245">
        <v>-2.5918387008999999</v>
      </c>
      <c r="AB245">
        <v>-80.397510204499994</v>
      </c>
      <c r="AC245">
        <v>0</v>
      </c>
      <c r="AD245">
        <f>+VLOOKUP(L245,Evalua!$G$2:$H$12,2,0)</f>
        <v>1</v>
      </c>
      <c r="AE245">
        <f>+VLOOKUP(M245,Evalua!$G$2:$H$12,2,0)</f>
        <v>2</v>
      </c>
    </row>
    <row r="246" spans="1:31" hidden="1" x14ac:dyDescent="0.2">
      <c r="A246" s="1" t="s">
        <v>995</v>
      </c>
      <c r="B246" t="s">
        <v>938</v>
      </c>
      <c r="E246" s="3" t="s">
        <v>1997</v>
      </c>
      <c r="G246" t="s">
        <v>98</v>
      </c>
      <c r="H246" t="s">
        <v>153</v>
      </c>
      <c r="I246" t="s">
        <v>26</v>
      </c>
      <c r="J246" t="s">
        <v>99</v>
      </c>
      <c r="K246" t="s">
        <v>46</v>
      </c>
      <c r="L246" t="s">
        <v>28</v>
      </c>
      <c r="M246" t="s">
        <v>29</v>
      </c>
      <c r="N246" t="str">
        <f>+VLOOKUP(A246,[1]Buscador!$B:$E,4,0)</f>
        <v>Guayaquil</v>
      </c>
      <c r="O246" t="str">
        <f>+VLOOKUP(A246,[1]Buscador!$B:$F,5,0)</f>
        <v>Guayas</v>
      </c>
      <c r="P246" t="s">
        <v>31</v>
      </c>
      <c r="S246" t="s">
        <v>32</v>
      </c>
      <c r="T246" t="s">
        <v>33</v>
      </c>
      <c r="U246" t="s">
        <v>938</v>
      </c>
      <c r="V246" t="s">
        <v>153</v>
      </c>
      <c r="W246" t="s">
        <v>996</v>
      </c>
      <c r="X246" t="s">
        <v>997</v>
      </c>
      <c r="Y246" t="s">
        <v>998</v>
      </c>
      <c r="Z246" t="s">
        <v>999</v>
      </c>
      <c r="AA246">
        <v>-2.169042964</v>
      </c>
      <c r="AB246">
        <v>-79.896997210400002</v>
      </c>
      <c r="AC246">
        <v>0</v>
      </c>
      <c r="AD246">
        <f>+VLOOKUP(L246,Evalua!$G$2:$H$12,2,0)</f>
        <v>1</v>
      </c>
      <c r="AE246">
        <f>+VLOOKUP(M246,Evalua!$G$2:$H$12,2,0)</f>
        <v>2</v>
      </c>
    </row>
    <row r="247" spans="1:31" hidden="1" x14ac:dyDescent="0.2">
      <c r="A247" s="1" t="s">
        <v>977</v>
      </c>
      <c r="B247" t="s">
        <v>923</v>
      </c>
      <c r="E247" s="3" t="s">
        <v>1997</v>
      </c>
      <c r="G247" t="s">
        <v>98</v>
      </c>
      <c r="H247" t="s">
        <v>153</v>
      </c>
      <c r="I247" t="s">
        <v>26</v>
      </c>
      <c r="J247" t="s">
        <v>99</v>
      </c>
      <c r="K247" t="s">
        <v>46</v>
      </c>
      <c r="L247" t="s">
        <v>28</v>
      </c>
      <c r="M247" t="s">
        <v>29</v>
      </c>
      <c r="N247" t="str">
        <f>+VLOOKUP(A247,[1]Buscador!$B:$E,4,0)</f>
        <v>Guayaquil</v>
      </c>
      <c r="O247" t="str">
        <f>+VLOOKUP(A247,[1]Buscador!$B:$F,5,0)</f>
        <v>Guayas</v>
      </c>
      <c r="P247" t="s">
        <v>153</v>
      </c>
      <c r="S247" t="s">
        <v>32</v>
      </c>
      <c r="T247" t="s">
        <v>33</v>
      </c>
      <c r="U247" t="s">
        <v>923</v>
      </c>
      <c r="V247" t="s">
        <v>153</v>
      </c>
      <c r="W247" t="s">
        <v>978</v>
      </c>
      <c r="X247" t="s">
        <v>979</v>
      </c>
      <c r="Y247" t="s">
        <v>980</v>
      </c>
      <c r="Z247" t="s">
        <v>981</v>
      </c>
      <c r="AA247">
        <v>-2.1382411329000002</v>
      </c>
      <c r="AB247">
        <v>-79.8914255209</v>
      </c>
      <c r="AC247">
        <v>0</v>
      </c>
      <c r="AD247">
        <f>+VLOOKUP(L247,Evalua!$G$2:$H$12,2,0)</f>
        <v>1</v>
      </c>
      <c r="AE247">
        <f>+VLOOKUP(M247,Evalua!$G$2:$H$12,2,0)</f>
        <v>2</v>
      </c>
    </row>
    <row r="248" spans="1:31" hidden="1" x14ac:dyDescent="0.2">
      <c r="A248" s="1" t="s">
        <v>755</v>
      </c>
      <c r="B248" t="s">
        <v>700</v>
      </c>
      <c r="E248" s="3" t="s">
        <v>2006</v>
      </c>
      <c r="G248" t="s">
        <v>98</v>
      </c>
      <c r="H248" t="s">
        <v>153</v>
      </c>
      <c r="I248" t="s">
        <v>26</v>
      </c>
      <c r="J248" t="s">
        <v>99</v>
      </c>
      <c r="K248" t="s">
        <v>46</v>
      </c>
      <c r="L248" t="s">
        <v>28</v>
      </c>
      <c r="M248" t="s">
        <v>29</v>
      </c>
      <c r="N248" t="str">
        <f>+VLOOKUP(A248,[1]Buscador!$B:$E,4,0)</f>
        <v>La Aurora</v>
      </c>
      <c r="O248" t="str">
        <f>+VLOOKUP(A248,[1]Buscador!$B:$F,5,0)</f>
        <v>Guayas</v>
      </c>
      <c r="P248" t="s">
        <v>153</v>
      </c>
      <c r="S248" t="s">
        <v>32</v>
      </c>
      <c r="T248" t="s">
        <v>33</v>
      </c>
      <c r="U248" t="s">
        <v>700</v>
      </c>
      <c r="V248" t="s">
        <v>153</v>
      </c>
      <c r="W248" t="s">
        <v>756</v>
      </c>
      <c r="X248" t="s">
        <v>757</v>
      </c>
      <c r="Y248" t="s">
        <v>758</v>
      </c>
      <c r="Z248" t="s">
        <v>759</v>
      </c>
      <c r="AA248">
        <v>-2.0339784447000002</v>
      </c>
      <c r="AB248">
        <v>-79.887350462000001</v>
      </c>
      <c r="AC248">
        <v>0</v>
      </c>
      <c r="AD248">
        <f>+VLOOKUP(L248,Evalua!$G$2:$H$12,2,0)</f>
        <v>1</v>
      </c>
      <c r="AE248">
        <f>+VLOOKUP(M248,Evalua!$G$2:$H$12,2,0)</f>
        <v>2</v>
      </c>
    </row>
    <row r="249" spans="1:31" hidden="1" x14ac:dyDescent="0.2">
      <c r="A249" s="1" t="s">
        <v>1639</v>
      </c>
      <c r="B249" t="s">
        <v>1640</v>
      </c>
      <c r="D249" t="s">
        <v>2002</v>
      </c>
      <c r="E249" t="s">
        <v>2001</v>
      </c>
      <c r="G249" t="s">
        <v>1309</v>
      </c>
      <c r="H249" t="s">
        <v>153</v>
      </c>
      <c r="I249" t="s">
        <v>26</v>
      </c>
      <c r="J249" t="s">
        <v>2</v>
      </c>
      <c r="K249" t="s">
        <v>46</v>
      </c>
      <c r="L249" t="s">
        <v>28</v>
      </c>
      <c r="M249" t="s">
        <v>29</v>
      </c>
      <c r="N249" t="str">
        <f>+VLOOKUP(A249,[1]Buscador!$B:$E,4,0)</f>
        <v>Guayaquil</v>
      </c>
      <c r="O249" t="str">
        <f>+VLOOKUP(A249,[1]Buscador!$B:$F,5,0)</f>
        <v>Guayas</v>
      </c>
      <c r="P249" t="s">
        <v>31</v>
      </c>
      <c r="S249" t="s">
        <v>32</v>
      </c>
      <c r="T249" t="s">
        <v>33</v>
      </c>
      <c r="U249" t="s">
        <v>1377</v>
      </c>
      <c r="V249" t="s">
        <v>153</v>
      </c>
      <c r="X249" t="s">
        <v>1641</v>
      </c>
      <c r="Z249" t="s">
        <v>1934</v>
      </c>
      <c r="AA249">
        <v>-2.1899148432515001</v>
      </c>
      <c r="AB249">
        <v>-79.879941750821999</v>
      </c>
      <c r="AC249">
        <v>0</v>
      </c>
      <c r="AD249">
        <f>+VLOOKUP(L249,Evalua!$G$2:$H$12,2,0)</f>
        <v>1</v>
      </c>
      <c r="AE249">
        <f>+VLOOKUP(M249,Evalua!$G$2:$H$12,2,0)</f>
        <v>2</v>
      </c>
    </row>
    <row r="250" spans="1:31" hidden="1" x14ac:dyDescent="0.2">
      <c r="A250" s="1" t="s">
        <v>1870</v>
      </c>
      <c r="B250" t="s">
        <v>1871</v>
      </c>
      <c r="D250" t="s">
        <v>2003</v>
      </c>
      <c r="E250" t="s">
        <v>1997</v>
      </c>
      <c r="G250" t="s">
        <v>1475</v>
      </c>
      <c r="H250" t="s">
        <v>153</v>
      </c>
      <c r="I250" t="s">
        <v>26</v>
      </c>
      <c r="J250" t="s">
        <v>2</v>
      </c>
      <c r="K250" t="s">
        <v>46</v>
      </c>
      <c r="L250" t="s">
        <v>81</v>
      </c>
      <c r="M250" t="s">
        <v>29</v>
      </c>
      <c r="N250" t="str">
        <f>+VLOOKUP(A250,[1]Buscador!$B:$E,4,0)</f>
        <v>Guayaquil</v>
      </c>
      <c r="O250" t="str">
        <f>+VLOOKUP(A250,[1]Buscador!$B:$F,5,0)</f>
        <v>Guayas</v>
      </c>
      <c r="P250" t="s">
        <v>31</v>
      </c>
      <c r="S250" t="s">
        <v>82</v>
      </c>
      <c r="T250" t="s">
        <v>83</v>
      </c>
      <c r="U250" t="s">
        <v>1564</v>
      </c>
      <c r="V250" t="s">
        <v>153</v>
      </c>
      <c r="X250" t="s">
        <v>1872</v>
      </c>
      <c r="Z250" t="s">
        <v>1966</v>
      </c>
      <c r="AA250">
        <v>-2.175465</v>
      </c>
      <c r="AB250">
        <v>-79.904724999999999</v>
      </c>
      <c r="AC250">
        <v>0</v>
      </c>
      <c r="AD250">
        <f>+VLOOKUP(L250,Evalua!$G$2:$H$12,2,0)</f>
        <v>3</v>
      </c>
      <c r="AE250">
        <f>+VLOOKUP(M250,Evalua!$G$2:$H$12,2,0)</f>
        <v>2</v>
      </c>
    </row>
    <row r="251" spans="1:31" hidden="1" x14ac:dyDescent="0.2">
      <c r="A251" s="1" t="s">
        <v>1353</v>
      </c>
      <c r="B251" t="s">
        <v>1354</v>
      </c>
      <c r="G251" t="s">
        <v>1218</v>
      </c>
      <c r="H251" t="s">
        <v>153</v>
      </c>
      <c r="I251" t="s">
        <v>26</v>
      </c>
      <c r="J251" t="s">
        <v>2</v>
      </c>
      <c r="K251" t="s">
        <v>27</v>
      </c>
      <c r="L251" t="s">
        <v>28</v>
      </c>
      <c r="M251" t="s">
        <v>29</v>
      </c>
      <c r="N251" t="str">
        <f>+VLOOKUP(A251,[1]Buscador!$B:$E,4,0)</f>
        <v>El Condado</v>
      </c>
      <c r="O251" t="str">
        <f>+VLOOKUP(A251,[1]Buscador!$B:$F,5,0)</f>
        <v>Pichincha</v>
      </c>
      <c r="P251" t="s">
        <v>31</v>
      </c>
      <c r="S251" t="s">
        <v>32</v>
      </c>
      <c r="T251" t="s">
        <v>33</v>
      </c>
      <c r="U251" t="s">
        <v>1218</v>
      </c>
      <c r="V251" t="s">
        <v>153</v>
      </c>
      <c r="W251" t="s">
        <v>1355</v>
      </c>
      <c r="X251" t="s">
        <v>1356</v>
      </c>
      <c r="Y251" t="s">
        <v>1357</v>
      </c>
      <c r="Z251" t="s">
        <v>1358</v>
      </c>
      <c r="AA251">
        <v>-0.1038586388</v>
      </c>
      <c r="AB251">
        <v>-78.490326716400006</v>
      </c>
      <c r="AC251">
        <v>0</v>
      </c>
      <c r="AD251">
        <f>+VLOOKUP(L251,Evalua!$G$2:$H$12,2,0)</f>
        <v>1</v>
      </c>
      <c r="AE251">
        <f>+VLOOKUP(M251,Evalua!$G$2:$H$12,2,0)</f>
        <v>2</v>
      </c>
    </row>
    <row r="252" spans="1:31" hidden="1" x14ac:dyDescent="0.2">
      <c r="A252" s="1" t="s">
        <v>684</v>
      </c>
      <c r="B252" t="s">
        <v>629</v>
      </c>
      <c r="E252" s="3" t="s">
        <v>1997</v>
      </c>
      <c r="G252" t="s">
        <v>98</v>
      </c>
      <c r="H252" t="s">
        <v>153</v>
      </c>
      <c r="I252" t="s">
        <v>26</v>
      </c>
      <c r="J252" t="s">
        <v>99</v>
      </c>
      <c r="K252" t="s">
        <v>46</v>
      </c>
      <c r="L252" t="s">
        <v>28</v>
      </c>
      <c r="M252" t="s">
        <v>29</v>
      </c>
      <c r="N252" t="str">
        <f>+VLOOKUP(A252,[1]Buscador!$B:$E,4,0)</f>
        <v>Samborondón</v>
      </c>
      <c r="O252" t="str">
        <f>+VLOOKUP(A252,[1]Buscador!$B:$F,5,0)</f>
        <v>Guayas</v>
      </c>
      <c r="P252" t="s">
        <v>31</v>
      </c>
      <c r="S252" t="s">
        <v>32</v>
      </c>
      <c r="T252" t="s">
        <v>33</v>
      </c>
      <c r="U252" t="s">
        <v>629</v>
      </c>
      <c r="V252" t="s">
        <v>153</v>
      </c>
      <c r="W252" t="s">
        <v>685</v>
      </c>
      <c r="X252" t="s">
        <v>686</v>
      </c>
      <c r="Y252" t="s">
        <v>687</v>
      </c>
      <c r="Z252" t="s">
        <v>688</v>
      </c>
      <c r="AA252">
        <v>-2.1288782156999999</v>
      </c>
      <c r="AB252">
        <v>-79.863641467799994</v>
      </c>
      <c r="AC252">
        <v>0</v>
      </c>
      <c r="AD252">
        <f>+VLOOKUP(L252,Evalua!$G$2:$H$12,2,0)</f>
        <v>1</v>
      </c>
      <c r="AE252">
        <f>+VLOOKUP(M252,Evalua!$G$2:$H$12,2,0)</f>
        <v>2</v>
      </c>
    </row>
    <row r="253" spans="1:31" hidden="1" x14ac:dyDescent="0.2">
      <c r="A253" s="1" t="s">
        <v>831</v>
      </c>
      <c r="B253" t="s">
        <v>777</v>
      </c>
      <c r="E253" s="3" t="s">
        <v>2006</v>
      </c>
      <c r="G253" t="s">
        <v>98</v>
      </c>
      <c r="H253" t="s">
        <v>153</v>
      </c>
      <c r="I253" t="s">
        <v>26</v>
      </c>
      <c r="J253" t="s">
        <v>99</v>
      </c>
      <c r="K253" t="s">
        <v>46</v>
      </c>
      <c r="L253" t="s">
        <v>28</v>
      </c>
      <c r="M253" t="s">
        <v>29</v>
      </c>
      <c r="N253" t="str">
        <f>+VLOOKUP(A253,[1]Buscador!$B:$E,4,0)</f>
        <v>Samborondón</v>
      </c>
      <c r="O253" t="str">
        <f>+VLOOKUP(A253,[1]Buscador!$B:$F,5,0)</f>
        <v>Guayas</v>
      </c>
      <c r="P253" t="s">
        <v>31</v>
      </c>
      <c r="S253" t="s">
        <v>32</v>
      </c>
      <c r="T253" t="s">
        <v>33</v>
      </c>
      <c r="U253" t="s">
        <v>777</v>
      </c>
      <c r="V253" t="s">
        <v>153</v>
      </c>
      <c r="W253" t="s">
        <v>832</v>
      </c>
      <c r="X253" t="s">
        <v>833</v>
      </c>
      <c r="Y253" t="s">
        <v>834</v>
      </c>
      <c r="Z253" t="s">
        <v>835</v>
      </c>
      <c r="AA253">
        <v>-2.0748000813999998</v>
      </c>
      <c r="AB253">
        <v>-79.873377209500006</v>
      </c>
      <c r="AC253">
        <v>0</v>
      </c>
      <c r="AD253">
        <f>+VLOOKUP(L253,Evalua!$G$2:$H$12,2,0)</f>
        <v>1</v>
      </c>
      <c r="AE253">
        <f>+VLOOKUP(M253,Evalua!$G$2:$H$12,2,0)</f>
        <v>2</v>
      </c>
    </row>
    <row r="254" spans="1:31" hidden="1" x14ac:dyDescent="0.2">
      <c r="A254" s="1" t="s">
        <v>1197</v>
      </c>
      <c r="B254" t="s">
        <v>1143</v>
      </c>
      <c r="D254" t="s">
        <v>2003</v>
      </c>
      <c r="E254" t="s">
        <v>1991</v>
      </c>
      <c r="G254" t="s">
        <v>98</v>
      </c>
      <c r="H254" t="s">
        <v>153</v>
      </c>
      <c r="I254" t="s">
        <v>26</v>
      </c>
      <c r="J254" t="s">
        <v>99</v>
      </c>
      <c r="K254" t="s">
        <v>170</v>
      </c>
      <c r="L254" t="s">
        <v>81</v>
      </c>
      <c r="M254" t="s">
        <v>29</v>
      </c>
      <c r="N254" t="str">
        <f>+VLOOKUP(A254,[1]Buscador!$B:$E,4,0)</f>
        <v>Portoviejo</v>
      </c>
      <c r="O254" t="str">
        <f>+VLOOKUP(A254,[1]Buscador!$B:$F,5,0)</f>
        <v>Manabí</v>
      </c>
      <c r="P254" t="s">
        <v>153</v>
      </c>
      <c r="S254" t="s">
        <v>82</v>
      </c>
      <c r="T254" t="s">
        <v>83</v>
      </c>
      <c r="U254" t="s">
        <v>1143</v>
      </c>
      <c r="V254" t="s">
        <v>153</v>
      </c>
      <c r="W254" t="s">
        <v>1198</v>
      </c>
      <c r="X254" t="s">
        <v>1199</v>
      </c>
      <c r="Y254" t="s">
        <v>1200</v>
      </c>
      <c r="Z254" t="s">
        <v>1201</v>
      </c>
      <c r="AA254">
        <v>-1.0422553136999999</v>
      </c>
      <c r="AB254">
        <v>-80.468918452899999</v>
      </c>
      <c r="AC254">
        <v>0</v>
      </c>
      <c r="AD254">
        <f>+VLOOKUP(L254,Evalua!$G$2:$H$12,2,0)</f>
        <v>3</v>
      </c>
      <c r="AE254">
        <f>+VLOOKUP(M254,Evalua!$G$2:$H$12,2,0)</f>
        <v>2</v>
      </c>
    </row>
    <row r="255" spans="1:31" hidden="1" x14ac:dyDescent="0.2">
      <c r="A255" s="1" t="s">
        <v>1142</v>
      </c>
      <c r="B255" t="s">
        <v>1087</v>
      </c>
      <c r="G255" t="s">
        <v>98</v>
      </c>
      <c r="H255" t="s">
        <v>153</v>
      </c>
      <c r="I255" t="s">
        <v>26</v>
      </c>
      <c r="J255" t="s">
        <v>99</v>
      </c>
      <c r="K255" t="s">
        <v>27</v>
      </c>
      <c r="L255" t="s">
        <v>28</v>
      </c>
      <c r="M255" t="s">
        <v>29</v>
      </c>
      <c r="N255" t="str">
        <f>+VLOOKUP(A255,[1]Buscador!$B:$E,4,0)</f>
        <v>Quito</v>
      </c>
      <c r="O255" t="str">
        <f>+VLOOKUP(A255,[1]Buscador!$B:$F,5,0)</f>
        <v>Pichincha</v>
      </c>
      <c r="P255" t="s">
        <v>31</v>
      </c>
      <c r="S255" t="s">
        <v>32</v>
      </c>
      <c r="T255" t="s">
        <v>33</v>
      </c>
      <c r="U255" t="s">
        <v>1087</v>
      </c>
      <c r="V255" t="s">
        <v>153</v>
      </c>
      <c r="W255" t="s">
        <v>1143</v>
      </c>
      <c r="X255" t="s">
        <v>1144</v>
      </c>
      <c r="Y255" t="s">
        <v>1145</v>
      </c>
      <c r="Z255" t="s">
        <v>1146</v>
      </c>
      <c r="AA255">
        <v>-0.34606900950000002</v>
      </c>
      <c r="AB255">
        <v>-78.437349838800003</v>
      </c>
      <c r="AC255">
        <v>0</v>
      </c>
      <c r="AD255">
        <f>+VLOOKUP(L255,Evalua!$G$2:$H$12,2,0)</f>
        <v>1</v>
      </c>
      <c r="AE255">
        <f>+VLOOKUP(M255,Evalua!$G$2:$H$12,2,0)</f>
        <v>2</v>
      </c>
    </row>
    <row r="256" spans="1:31" hidden="1" x14ac:dyDescent="0.2">
      <c r="A256" s="1" t="s">
        <v>1678</v>
      </c>
      <c r="B256" t="s">
        <v>1679</v>
      </c>
      <c r="D256" t="s">
        <v>2002</v>
      </c>
      <c r="E256" t="s">
        <v>1997</v>
      </c>
      <c r="G256" t="s">
        <v>1676</v>
      </c>
      <c r="H256" t="s">
        <v>153</v>
      </c>
      <c r="I256" t="s">
        <v>26</v>
      </c>
      <c r="J256" t="s">
        <v>2</v>
      </c>
      <c r="K256" t="s">
        <v>46</v>
      </c>
      <c r="L256" t="s">
        <v>28</v>
      </c>
      <c r="M256" t="s">
        <v>29</v>
      </c>
      <c r="N256" t="str">
        <f>+VLOOKUP(A256,[1]Buscador!$B:$E,4,0)</f>
        <v>Durán</v>
      </c>
      <c r="O256" t="str">
        <f>+VLOOKUP(A256,[1]Buscador!$B:$F,5,0)</f>
        <v>Guayas</v>
      </c>
      <c r="P256" t="s">
        <v>31</v>
      </c>
      <c r="S256" t="s">
        <v>32</v>
      </c>
      <c r="T256" t="s">
        <v>33</v>
      </c>
      <c r="U256" t="s">
        <v>1410</v>
      </c>
      <c r="V256" t="s">
        <v>153</v>
      </c>
      <c r="X256" t="s">
        <v>1680</v>
      </c>
      <c r="Z256" t="s">
        <v>1939</v>
      </c>
      <c r="AA256">
        <v>-2.1775213265339999</v>
      </c>
      <c r="AB256">
        <v>-79.825584041664001</v>
      </c>
      <c r="AC256">
        <v>0</v>
      </c>
      <c r="AD256">
        <f>+VLOOKUP(L256,Evalua!$G$2:$H$12,2,0)</f>
        <v>1</v>
      </c>
      <c r="AE256">
        <f>+VLOOKUP(M256,Evalua!$G$2:$H$12,2,0)</f>
        <v>2</v>
      </c>
    </row>
    <row r="257" spans="1:31" hidden="1" x14ac:dyDescent="0.2">
      <c r="A257" s="1" t="s">
        <v>1192</v>
      </c>
      <c r="B257" t="s">
        <v>1138</v>
      </c>
      <c r="G257" t="s">
        <v>98</v>
      </c>
      <c r="H257" t="s">
        <v>153</v>
      </c>
      <c r="I257" t="s">
        <v>26</v>
      </c>
      <c r="J257" t="s">
        <v>99</v>
      </c>
      <c r="K257" t="s">
        <v>27</v>
      </c>
      <c r="L257" t="s">
        <v>28</v>
      </c>
      <c r="M257" t="s">
        <v>160</v>
      </c>
      <c r="N257" t="str">
        <f>+VLOOKUP(A257,[1]Buscador!$B:$E,4,0)</f>
        <v>San Antonio</v>
      </c>
      <c r="O257" t="str">
        <f>+VLOOKUP(A257,[1]Buscador!$B:$F,5,0)</f>
        <v>Pichincha</v>
      </c>
      <c r="P257" t="s">
        <v>153</v>
      </c>
      <c r="S257" t="s">
        <v>162</v>
      </c>
      <c r="T257" t="s">
        <v>83</v>
      </c>
      <c r="U257" t="s">
        <v>1138</v>
      </c>
      <c r="V257" t="s">
        <v>153</v>
      </c>
      <c r="W257" t="s">
        <v>1193</v>
      </c>
      <c r="X257" t="s">
        <v>1194</v>
      </c>
      <c r="Y257" t="s">
        <v>1195</v>
      </c>
      <c r="Z257" t="s">
        <v>1196</v>
      </c>
      <c r="AA257">
        <v>-8.0353171999999994E-3</v>
      </c>
      <c r="AB257">
        <v>-78.447624978799993</v>
      </c>
      <c r="AC257">
        <v>0</v>
      </c>
      <c r="AD257">
        <f>+VLOOKUP(L257,Evalua!$G$2:$H$12,2,0)</f>
        <v>1</v>
      </c>
      <c r="AE257">
        <f>+VLOOKUP(M257,Evalua!$G$2:$H$12,2,0)</f>
        <v>1</v>
      </c>
    </row>
    <row r="258" spans="1:31" hidden="1" x14ac:dyDescent="0.2">
      <c r="A258" s="1" t="s">
        <v>1187</v>
      </c>
      <c r="B258" t="s">
        <v>1133</v>
      </c>
      <c r="D258" t="s">
        <v>1996</v>
      </c>
      <c r="E258" t="s">
        <v>2018</v>
      </c>
      <c r="G258" t="s">
        <v>98</v>
      </c>
      <c r="H258" t="s">
        <v>153</v>
      </c>
      <c r="I258" t="s">
        <v>26</v>
      </c>
      <c r="J258" t="s">
        <v>99</v>
      </c>
      <c r="K258" t="s">
        <v>27</v>
      </c>
      <c r="L258" t="s">
        <v>28</v>
      </c>
      <c r="M258" t="s">
        <v>160</v>
      </c>
      <c r="N258" t="str">
        <f>+VLOOKUP(A258,[1]Buscador!$B:$E,4,0)</f>
        <v>Ambato</v>
      </c>
      <c r="O258" t="str">
        <f>+VLOOKUP(A258,[1]Buscador!$B:$F,5,0)</f>
        <v>Tungurahua</v>
      </c>
      <c r="P258" t="s">
        <v>153</v>
      </c>
      <c r="S258" t="s">
        <v>162</v>
      </c>
      <c r="T258" t="s">
        <v>83</v>
      </c>
      <c r="U258" t="s">
        <v>1133</v>
      </c>
      <c r="V258" t="s">
        <v>153</v>
      </c>
      <c r="W258" t="s">
        <v>1188</v>
      </c>
      <c r="X258" t="s">
        <v>1189</v>
      </c>
      <c r="Y258" t="s">
        <v>1190</v>
      </c>
      <c r="Z258" t="s">
        <v>1191</v>
      </c>
      <c r="AA258">
        <v>-1.2372873</v>
      </c>
      <c r="AB258">
        <v>-78.6329715153</v>
      </c>
      <c r="AC258">
        <v>0</v>
      </c>
      <c r="AD258">
        <f>+VLOOKUP(L258,Evalua!$G$2:$H$12,2,0)</f>
        <v>1</v>
      </c>
      <c r="AE258">
        <f>+VLOOKUP(M258,Evalua!$G$2:$H$12,2,0)</f>
        <v>1</v>
      </c>
    </row>
    <row r="259" spans="1:31" hidden="1" x14ac:dyDescent="0.2">
      <c r="A259" s="1" t="s">
        <v>897</v>
      </c>
      <c r="B259" t="s">
        <v>842</v>
      </c>
      <c r="E259" s="3" t="s">
        <v>1997</v>
      </c>
      <c r="G259" t="s">
        <v>98</v>
      </c>
      <c r="H259" t="s">
        <v>153</v>
      </c>
      <c r="I259" t="s">
        <v>26</v>
      </c>
      <c r="J259" t="s">
        <v>99</v>
      </c>
      <c r="K259" t="s">
        <v>46</v>
      </c>
      <c r="L259" t="s">
        <v>28</v>
      </c>
      <c r="M259" t="s">
        <v>29</v>
      </c>
      <c r="N259" t="str">
        <f>+VLOOKUP(A259,[1]Buscador!$B:$E,4,0)</f>
        <v>La Aurora</v>
      </c>
      <c r="O259" t="str">
        <f>+VLOOKUP(A259,[1]Buscador!$B:$F,5,0)</f>
        <v>Guayas</v>
      </c>
      <c r="P259" t="s">
        <v>31</v>
      </c>
      <c r="S259" t="s">
        <v>32</v>
      </c>
      <c r="T259" t="s">
        <v>33</v>
      </c>
      <c r="U259" t="s">
        <v>842</v>
      </c>
      <c r="V259" t="s">
        <v>153</v>
      </c>
      <c r="W259" t="s">
        <v>898</v>
      </c>
      <c r="X259" t="s">
        <v>899</v>
      </c>
      <c r="Y259" t="s">
        <v>900</v>
      </c>
      <c r="Z259" t="s">
        <v>901</v>
      </c>
      <c r="AA259">
        <v>-2.0311202737</v>
      </c>
      <c r="AB259">
        <v>-79.9021323443</v>
      </c>
      <c r="AC259">
        <v>0</v>
      </c>
      <c r="AD259">
        <f>+VLOOKUP(L259,Evalua!$G$2:$H$12,2,0)</f>
        <v>1</v>
      </c>
      <c r="AE259">
        <f>+VLOOKUP(M259,Evalua!$G$2:$H$12,2,0)</f>
        <v>2</v>
      </c>
    </row>
    <row r="260" spans="1:31" hidden="1" x14ac:dyDescent="0.2">
      <c r="A260" s="1" t="s">
        <v>1020</v>
      </c>
      <c r="B260" t="s">
        <v>963</v>
      </c>
      <c r="E260" s="3" t="s">
        <v>1997</v>
      </c>
      <c r="G260" t="s">
        <v>98</v>
      </c>
      <c r="H260" t="s">
        <v>153</v>
      </c>
      <c r="I260" t="s">
        <v>26</v>
      </c>
      <c r="J260" t="s">
        <v>99</v>
      </c>
      <c r="K260" t="s">
        <v>46</v>
      </c>
      <c r="L260" t="s">
        <v>28</v>
      </c>
      <c r="M260" t="s">
        <v>29</v>
      </c>
      <c r="N260" t="str">
        <f>+VLOOKUP(A260,[1]Buscador!$B:$E,4,0)</f>
        <v>Durán</v>
      </c>
      <c r="O260" t="str">
        <f>+VLOOKUP(A260,[1]Buscador!$B:$F,5,0)</f>
        <v>Guayas</v>
      </c>
      <c r="P260" t="s">
        <v>31</v>
      </c>
      <c r="S260" t="s">
        <v>32</v>
      </c>
      <c r="T260" t="s">
        <v>33</v>
      </c>
      <c r="U260" t="s">
        <v>963</v>
      </c>
      <c r="V260" t="s">
        <v>153</v>
      </c>
      <c r="W260" t="s">
        <v>1021</v>
      </c>
      <c r="X260" t="s">
        <v>1022</v>
      </c>
      <c r="Y260" t="s">
        <v>1023</v>
      </c>
      <c r="Z260" t="s">
        <v>1024</v>
      </c>
      <c r="AA260">
        <v>-2.1755199966999998</v>
      </c>
      <c r="AB260">
        <v>-79.830847261100004</v>
      </c>
      <c r="AC260">
        <v>0</v>
      </c>
      <c r="AD260">
        <f>+VLOOKUP(L260,Evalua!$G$2:$H$12,2,0)</f>
        <v>1</v>
      </c>
      <c r="AE260">
        <f>+VLOOKUP(M260,Evalua!$G$2:$H$12,2,0)</f>
        <v>2</v>
      </c>
    </row>
    <row r="261" spans="1:31" hidden="1" x14ac:dyDescent="0.2">
      <c r="A261" s="1" t="s">
        <v>1167</v>
      </c>
      <c r="B261" t="s">
        <v>1113</v>
      </c>
      <c r="G261" t="s">
        <v>98</v>
      </c>
      <c r="H261" t="s">
        <v>153</v>
      </c>
      <c r="I261" t="s">
        <v>26</v>
      </c>
      <c r="J261" t="s">
        <v>99</v>
      </c>
      <c r="K261" t="s">
        <v>27</v>
      </c>
      <c r="L261" t="s">
        <v>28</v>
      </c>
      <c r="M261" t="s">
        <v>160</v>
      </c>
      <c r="N261" t="str">
        <f>+VLOOKUP(A261,[1]Buscador!$B:$E,4,0)</f>
        <v>Baños de Agua Santa</v>
      </c>
      <c r="O261" t="str">
        <f>+VLOOKUP(A261,[1]Buscador!$B:$F,5,0)</f>
        <v>Tungurahua</v>
      </c>
      <c r="P261" t="s">
        <v>153</v>
      </c>
      <c r="S261" t="s">
        <v>162</v>
      </c>
      <c r="T261" t="s">
        <v>83</v>
      </c>
      <c r="U261" t="s">
        <v>1113</v>
      </c>
      <c r="V261" t="s">
        <v>153</v>
      </c>
      <c r="W261" t="s">
        <v>1169</v>
      </c>
      <c r="X261" t="s">
        <v>1170</v>
      </c>
      <c r="Y261" t="s">
        <v>1171</v>
      </c>
      <c r="Z261" t="s">
        <v>1172</v>
      </c>
      <c r="AA261">
        <v>-1.3954293086</v>
      </c>
      <c r="AB261">
        <v>-78.423825275799999</v>
      </c>
      <c r="AC261">
        <v>0</v>
      </c>
      <c r="AD261">
        <f>+VLOOKUP(L261,Evalua!$G$2:$H$12,2,0)</f>
        <v>1</v>
      </c>
      <c r="AE261">
        <f>+VLOOKUP(M261,Evalua!$G$2:$H$12,2,0)</f>
        <v>1</v>
      </c>
    </row>
    <row r="262" spans="1:31" hidden="1" x14ac:dyDescent="0.2">
      <c r="A262" s="1" t="s">
        <v>567</v>
      </c>
      <c r="B262" t="s">
        <v>513</v>
      </c>
      <c r="G262" t="s">
        <v>98</v>
      </c>
      <c r="H262" t="s">
        <v>153</v>
      </c>
      <c r="I262" t="s">
        <v>26</v>
      </c>
      <c r="J262" t="s">
        <v>99</v>
      </c>
      <c r="K262" t="s">
        <v>159</v>
      </c>
      <c r="L262" t="s">
        <v>28</v>
      </c>
      <c r="M262" t="s">
        <v>29</v>
      </c>
      <c r="N262" t="str">
        <f>+VLOOKUP(A262,[1]Buscador!$B:$E,4,0)</f>
        <v>Azogues</v>
      </c>
      <c r="O262" t="str">
        <f>+VLOOKUP(A262,[1]Buscador!$B:$F,5,0)</f>
        <v>Cañar</v>
      </c>
      <c r="P262" t="s">
        <v>31</v>
      </c>
      <c r="S262" t="s">
        <v>32</v>
      </c>
      <c r="T262" t="s">
        <v>33</v>
      </c>
      <c r="U262" t="s">
        <v>513</v>
      </c>
      <c r="V262" t="s">
        <v>153</v>
      </c>
      <c r="W262" t="s">
        <v>569</v>
      </c>
      <c r="X262" t="s">
        <v>570</v>
      </c>
      <c r="Y262" t="s">
        <v>571</v>
      </c>
      <c r="Z262" t="s">
        <v>572</v>
      </c>
      <c r="AA262">
        <v>-2.7508620147</v>
      </c>
      <c r="AB262">
        <v>-78.848690861400001</v>
      </c>
      <c r="AC262">
        <v>0</v>
      </c>
      <c r="AD262">
        <f>+VLOOKUP(L262,Evalua!$G$2:$H$12,2,0)</f>
        <v>1</v>
      </c>
      <c r="AE262">
        <f>+VLOOKUP(M262,Evalua!$G$2:$H$12,2,0)</f>
        <v>2</v>
      </c>
    </row>
    <row r="263" spans="1:31" hidden="1" x14ac:dyDescent="0.2">
      <c r="A263" s="1" t="s">
        <v>588</v>
      </c>
      <c r="B263" t="s">
        <v>533</v>
      </c>
      <c r="D263" t="s">
        <v>1996</v>
      </c>
      <c r="E263" s="3" t="s">
        <v>2001</v>
      </c>
      <c r="G263" t="s">
        <v>98</v>
      </c>
      <c r="H263" t="s">
        <v>153</v>
      </c>
      <c r="I263" t="s">
        <v>26</v>
      </c>
      <c r="J263" t="s">
        <v>99</v>
      </c>
      <c r="K263" t="s">
        <v>46</v>
      </c>
      <c r="L263" t="s">
        <v>28</v>
      </c>
      <c r="M263" t="s">
        <v>29</v>
      </c>
      <c r="N263" t="str">
        <f>+VLOOKUP(A263,[1]Buscador!$B:$E,4,0)</f>
        <v>Guayaquil</v>
      </c>
      <c r="O263" t="str">
        <f>+VLOOKUP(A263,[1]Buscador!$B:$F,5,0)</f>
        <v>Guayas</v>
      </c>
      <c r="P263" t="s">
        <v>31</v>
      </c>
      <c r="S263" t="s">
        <v>32</v>
      </c>
      <c r="T263" t="s">
        <v>33</v>
      </c>
      <c r="U263" t="s">
        <v>533</v>
      </c>
      <c r="V263" t="s">
        <v>153</v>
      </c>
      <c r="W263" t="s">
        <v>589</v>
      </c>
      <c r="X263" t="s">
        <v>590</v>
      </c>
      <c r="Y263" t="s">
        <v>591</v>
      </c>
      <c r="Z263" t="s">
        <v>592</v>
      </c>
      <c r="AA263">
        <v>-2.1975406676000002</v>
      </c>
      <c r="AB263">
        <v>-80.059598953999995</v>
      </c>
      <c r="AC263">
        <v>0</v>
      </c>
      <c r="AD263">
        <f>+VLOOKUP(L263,Evalua!$G$2:$H$12,2,0)</f>
        <v>1</v>
      </c>
      <c r="AE263">
        <f>+VLOOKUP(M263,Evalua!$G$2:$H$12,2,0)</f>
        <v>2</v>
      </c>
    </row>
    <row r="264" spans="1:31" hidden="1" x14ac:dyDescent="0.2">
      <c r="A264" s="1" t="s">
        <v>658</v>
      </c>
      <c r="B264" t="s">
        <v>604</v>
      </c>
      <c r="G264" t="s">
        <v>98</v>
      </c>
      <c r="H264" t="s">
        <v>153</v>
      </c>
      <c r="I264" t="s">
        <v>26</v>
      </c>
      <c r="J264" t="s">
        <v>99</v>
      </c>
      <c r="K264" t="s">
        <v>27</v>
      </c>
      <c r="L264" t="s">
        <v>28</v>
      </c>
      <c r="M264" t="s">
        <v>29</v>
      </c>
      <c r="N264" t="str">
        <f>+VLOOKUP(A264,[1]Buscador!$B:$E,4,0)</f>
        <v>Quito</v>
      </c>
      <c r="O264" t="str">
        <f>+VLOOKUP(A264,[1]Buscador!$B:$F,5,0)</f>
        <v>Pichincha</v>
      </c>
      <c r="P264" t="s">
        <v>31</v>
      </c>
      <c r="S264" t="s">
        <v>32</v>
      </c>
      <c r="T264" t="s">
        <v>33</v>
      </c>
      <c r="U264" t="s">
        <v>604</v>
      </c>
      <c r="V264" t="s">
        <v>153</v>
      </c>
      <c r="W264" t="s">
        <v>659</v>
      </c>
      <c r="X264" t="s">
        <v>660</v>
      </c>
      <c r="Y264" t="s">
        <v>661</v>
      </c>
      <c r="Z264" t="s">
        <v>662</v>
      </c>
      <c r="AA264">
        <v>-0.20732100000000001</v>
      </c>
      <c r="AB264">
        <v>-78.495140000000006</v>
      </c>
      <c r="AC264">
        <v>0</v>
      </c>
      <c r="AD264">
        <f>+VLOOKUP(L264,Evalua!$G$2:$H$12,2,0)</f>
        <v>1</v>
      </c>
      <c r="AE264">
        <f>+VLOOKUP(M264,Evalua!$G$2:$H$12,2,0)</f>
        <v>2</v>
      </c>
    </row>
    <row r="265" spans="1:31" hidden="1" x14ac:dyDescent="0.2">
      <c r="A265" s="1" t="s">
        <v>406</v>
      </c>
      <c r="B265" t="s">
        <v>350</v>
      </c>
      <c r="G265" t="s">
        <v>98</v>
      </c>
      <c r="H265" t="s">
        <v>153</v>
      </c>
      <c r="I265" t="s">
        <v>26</v>
      </c>
      <c r="J265" t="s">
        <v>99</v>
      </c>
      <c r="K265" t="s">
        <v>159</v>
      </c>
      <c r="L265" t="s">
        <v>28</v>
      </c>
      <c r="M265" t="s">
        <v>29</v>
      </c>
      <c r="N265" t="str">
        <f>+VLOOKUP(A265,[1]Buscador!$B:$E,4,0)</f>
        <v>Cuenca</v>
      </c>
      <c r="O265" t="str">
        <f>+VLOOKUP(A265,[1]Buscador!$B:$F,5,0)</f>
        <v>Azuay</v>
      </c>
      <c r="P265" t="s">
        <v>31</v>
      </c>
      <c r="S265" t="s">
        <v>32</v>
      </c>
      <c r="T265" t="s">
        <v>33</v>
      </c>
      <c r="U265" t="s">
        <v>350</v>
      </c>
      <c r="V265" t="s">
        <v>153</v>
      </c>
      <c r="W265" t="s">
        <v>407</v>
      </c>
      <c r="X265" t="s">
        <v>408</v>
      </c>
      <c r="Y265" t="s">
        <v>409</v>
      </c>
      <c r="Z265" t="s">
        <v>410</v>
      </c>
      <c r="AA265">
        <v>-2.786915</v>
      </c>
      <c r="AB265">
        <v>-79.165980000000005</v>
      </c>
      <c r="AC265">
        <v>0</v>
      </c>
      <c r="AD265">
        <f>+VLOOKUP(L265,Evalua!$G$2:$H$12,2,0)</f>
        <v>1</v>
      </c>
      <c r="AE265">
        <f>+VLOOKUP(M265,Evalua!$G$2:$H$12,2,0)</f>
        <v>2</v>
      </c>
    </row>
    <row r="266" spans="1:31" hidden="1" x14ac:dyDescent="0.2">
      <c r="A266" s="1" t="s">
        <v>1173</v>
      </c>
      <c r="B266" t="s">
        <v>1118</v>
      </c>
      <c r="D266" t="s">
        <v>1990</v>
      </c>
      <c r="E266" s="3" t="s">
        <v>1992</v>
      </c>
      <c r="G266" t="s">
        <v>98</v>
      </c>
      <c r="H266" t="s">
        <v>153</v>
      </c>
      <c r="I266" t="s">
        <v>26</v>
      </c>
      <c r="J266" t="s">
        <v>99</v>
      </c>
      <c r="K266" t="s">
        <v>46</v>
      </c>
      <c r="L266" t="s">
        <v>28</v>
      </c>
      <c r="M266" t="s">
        <v>29</v>
      </c>
      <c r="N266" t="str">
        <f>+VLOOKUP(A266,[1]Buscador!$B:$E,4,0)</f>
        <v>Guayaquil</v>
      </c>
      <c r="O266" t="str">
        <f>+VLOOKUP(A266,[1]Buscador!$B:$F,5,0)</f>
        <v>Guayas</v>
      </c>
      <c r="P266" t="s">
        <v>31</v>
      </c>
      <c r="S266" t="s">
        <v>32</v>
      </c>
      <c r="T266" t="s">
        <v>33</v>
      </c>
      <c r="U266" t="s">
        <v>1118</v>
      </c>
      <c r="V266" t="s">
        <v>153</v>
      </c>
      <c r="W266" t="s">
        <v>568</v>
      </c>
      <c r="X266" t="s">
        <v>1175</v>
      </c>
      <c r="Y266" t="s">
        <v>1176</v>
      </c>
      <c r="Z266" t="s">
        <v>1177</v>
      </c>
      <c r="AA266">
        <v>-2.2347009999999998</v>
      </c>
      <c r="AB266">
        <v>-80.079533999999995</v>
      </c>
      <c r="AC266">
        <v>0</v>
      </c>
      <c r="AD266">
        <f>+VLOOKUP(L266,Evalua!$G$2:$H$12,2,0)</f>
        <v>1</v>
      </c>
      <c r="AE266">
        <f>+VLOOKUP(M266,Evalua!$G$2:$H$12,2,0)</f>
        <v>2</v>
      </c>
    </row>
    <row r="267" spans="1:31" hidden="1" x14ac:dyDescent="0.2">
      <c r="A267" s="1" t="s">
        <v>673</v>
      </c>
      <c r="B267" t="s">
        <v>619</v>
      </c>
      <c r="E267" s="3" t="s">
        <v>2006</v>
      </c>
      <c r="G267" t="s">
        <v>98</v>
      </c>
      <c r="H267" t="s">
        <v>153</v>
      </c>
      <c r="I267" t="s">
        <v>26</v>
      </c>
      <c r="J267" t="s">
        <v>99</v>
      </c>
      <c r="K267" t="s">
        <v>46</v>
      </c>
      <c r="L267" t="s">
        <v>28</v>
      </c>
      <c r="M267" t="s">
        <v>29</v>
      </c>
      <c r="N267" t="str">
        <f>+VLOOKUP(A267,[1]Buscador!$B:$E,4,0)</f>
        <v>La Aurora</v>
      </c>
      <c r="O267" t="str">
        <f>+VLOOKUP(A267,[1]Buscador!$B:$F,5,0)</f>
        <v>Guayas</v>
      </c>
      <c r="P267" t="s">
        <v>31</v>
      </c>
      <c r="S267" t="s">
        <v>32</v>
      </c>
      <c r="T267" t="s">
        <v>33</v>
      </c>
      <c r="U267" t="s">
        <v>619</v>
      </c>
      <c r="V267" t="s">
        <v>153</v>
      </c>
      <c r="W267" t="s">
        <v>675</v>
      </c>
      <c r="X267" t="s">
        <v>676</v>
      </c>
      <c r="Y267" t="s">
        <v>677</v>
      </c>
      <c r="Z267" t="s">
        <v>678</v>
      </c>
      <c r="AA267">
        <v>-2.0348525851999999</v>
      </c>
      <c r="AB267">
        <v>-79.915535634400001</v>
      </c>
      <c r="AC267">
        <v>0</v>
      </c>
      <c r="AD267">
        <f>+VLOOKUP(L267,Evalua!$G$2:$H$12,2,0)</f>
        <v>1</v>
      </c>
      <c r="AE267">
        <f>+VLOOKUP(M267,Evalua!$G$2:$H$12,2,0)</f>
        <v>2</v>
      </c>
    </row>
    <row r="268" spans="1:31" hidden="1" x14ac:dyDescent="0.2">
      <c r="A268" s="1" t="s">
        <v>679</v>
      </c>
      <c r="B268" t="s">
        <v>624</v>
      </c>
      <c r="C268" t="s">
        <v>2026</v>
      </c>
      <c r="D268" t="s">
        <v>2003</v>
      </c>
      <c r="E268" s="3" t="s">
        <v>1997</v>
      </c>
      <c r="G268" t="s">
        <v>98</v>
      </c>
      <c r="H268" t="s">
        <v>153</v>
      </c>
      <c r="I268" t="s">
        <v>26</v>
      </c>
      <c r="J268" t="s">
        <v>99</v>
      </c>
      <c r="K268" t="s">
        <v>46</v>
      </c>
      <c r="L268" t="s">
        <v>81</v>
      </c>
      <c r="M268" t="s">
        <v>29</v>
      </c>
      <c r="N268" t="str">
        <f>+VLOOKUP(A268,[1]Buscador!$B:$E,4,0)</f>
        <v>Guayaquil</v>
      </c>
      <c r="O268" t="str">
        <f>+VLOOKUP(A268,[1]Buscador!$B:$F,5,0)</f>
        <v>Guayas</v>
      </c>
      <c r="P268" t="s">
        <v>153</v>
      </c>
      <c r="S268" t="s">
        <v>82</v>
      </c>
      <c r="T268" t="s">
        <v>83</v>
      </c>
      <c r="U268" t="s">
        <v>624</v>
      </c>
      <c r="V268" t="s">
        <v>153</v>
      </c>
      <c r="W268" t="s">
        <v>680</v>
      </c>
      <c r="X268" t="s">
        <v>681</v>
      </c>
      <c r="Y268" t="s">
        <v>682</v>
      </c>
      <c r="Z268" t="s">
        <v>683</v>
      </c>
      <c r="AA268">
        <v>-2.1999270352</v>
      </c>
      <c r="AB268">
        <v>-79.902608514899995</v>
      </c>
      <c r="AC268">
        <v>0</v>
      </c>
      <c r="AD268">
        <f>+VLOOKUP(L268,Evalua!$G$2:$H$12,2,0)</f>
        <v>3</v>
      </c>
      <c r="AE268">
        <f>+VLOOKUP(M268,Evalua!$G$2:$H$12,2,0)</f>
        <v>2</v>
      </c>
    </row>
    <row r="269" spans="1:31" hidden="1" x14ac:dyDescent="0.2">
      <c r="A269" s="1" t="s">
        <v>1505</v>
      </c>
      <c r="B269" t="s">
        <v>1506</v>
      </c>
      <c r="D269" t="s">
        <v>1990</v>
      </c>
      <c r="E269" t="s">
        <v>2000</v>
      </c>
      <c r="G269" t="s">
        <v>1507</v>
      </c>
      <c r="H269" t="s">
        <v>153</v>
      </c>
      <c r="I269" t="s">
        <v>26</v>
      </c>
      <c r="J269" t="s">
        <v>2</v>
      </c>
      <c r="K269" t="s">
        <v>46</v>
      </c>
      <c r="L269" t="s">
        <v>28</v>
      </c>
      <c r="M269" t="s">
        <v>29</v>
      </c>
      <c r="N269" t="str">
        <f>+VLOOKUP(A269,[1]Buscador!$B:$E,4,0)</f>
        <v>La Libertad</v>
      </c>
      <c r="O269" t="str">
        <f>+VLOOKUP(A269,[1]Buscador!$B:$F,5,0)</f>
        <v>Santa Elena</v>
      </c>
      <c r="P269" t="s">
        <v>31</v>
      </c>
      <c r="S269" t="s">
        <v>32</v>
      </c>
      <c r="T269" t="s">
        <v>33</v>
      </c>
      <c r="U269" t="s">
        <v>1294</v>
      </c>
      <c r="V269" t="s">
        <v>1922</v>
      </c>
      <c r="W269" t="s">
        <v>1508</v>
      </c>
      <c r="X269" t="s">
        <v>1509</v>
      </c>
      <c r="Y269" t="s">
        <v>1510</v>
      </c>
      <c r="Z269" t="s">
        <v>1511</v>
      </c>
      <c r="AA269">
        <v>-2.2212702792000001</v>
      </c>
      <c r="AB269">
        <v>-80.9081972245</v>
      </c>
      <c r="AC269">
        <v>0</v>
      </c>
      <c r="AD269">
        <f>+VLOOKUP(L269,Evalua!$G$2:$H$12,2,0)</f>
        <v>1</v>
      </c>
      <c r="AE269">
        <f>+VLOOKUP(M269,Evalua!$G$2:$H$12,2,0)</f>
        <v>2</v>
      </c>
    </row>
    <row r="270" spans="1:31" hidden="1" x14ac:dyDescent="0.2">
      <c r="A270" s="1" t="s">
        <v>1178</v>
      </c>
      <c r="B270" t="s">
        <v>1123</v>
      </c>
      <c r="D270" t="s">
        <v>1996</v>
      </c>
      <c r="G270" t="s">
        <v>98</v>
      </c>
      <c r="H270" t="s">
        <v>153</v>
      </c>
      <c r="I270" t="s">
        <v>26</v>
      </c>
      <c r="J270" t="s">
        <v>99</v>
      </c>
      <c r="K270" t="s">
        <v>46</v>
      </c>
      <c r="L270" t="s">
        <v>28</v>
      </c>
      <c r="M270" t="s">
        <v>29</v>
      </c>
      <c r="N270" t="str">
        <f>+VLOOKUP(A270,[1]Buscador!$B:$E,4,0)</f>
        <v>Guayaquil</v>
      </c>
      <c r="O270" t="str">
        <f>+VLOOKUP(A270,[1]Buscador!$B:$F,5,0)</f>
        <v>Guayas</v>
      </c>
      <c r="P270" t="s">
        <v>153</v>
      </c>
      <c r="S270" t="s">
        <v>32</v>
      </c>
      <c r="T270" t="s">
        <v>33</v>
      </c>
      <c r="U270" t="s">
        <v>1123</v>
      </c>
      <c r="V270" t="s">
        <v>153</v>
      </c>
      <c r="W270" t="s">
        <v>271</v>
      </c>
      <c r="X270" t="s">
        <v>1179</v>
      </c>
      <c r="Y270" t="s">
        <v>1180</v>
      </c>
      <c r="Z270" t="s">
        <v>1181</v>
      </c>
      <c r="AA270">
        <v>-2.195605</v>
      </c>
      <c r="AB270">
        <v>-79.887726000000001</v>
      </c>
      <c r="AC270">
        <v>0</v>
      </c>
      <c r="AD270">
        <f>+VLOOKUP(L270,Evalua!$G$2:$H$12,2,0)</f>
        <v>1</v>
      </c>
      <c r="AE270">
        <f>+VLOOKUP(M270,Evalua!$G$2:$H$12,2,0)</f>
        <v>2</v>
      </c>
    </row>
    <row r="271" spans="1:31" hidden="1" x14ac:dyDescent="0.2">
      <c r="A271" s="1" t="s">
        <v>1111</v>
      </c>
      <c r="B271" t="s">
        <v>1056</v>
      </c>
      <c r="E271" t="s">
        <v>2008</v>
      </c>
      <c r="G271" t="s">
        <v>98</v>
      </c>
      <c r="H271" t="s">
        <v>153</v>
      </c>
      <c r="I271" t="s">
        <v>26</v>
      </c>
      <c r="J271" t="s">
        <v>99</v>
      </c>
      <c r="K271" t="s">
        <v>46</v>
      </c>
      <c r="L271" t="s">
        <v>28</v>
      </c>
      <c r="M271" t="s">
        <v>29</v>
      </c>
      <c r="N271" t="str">
        <f>+VLOOKUP(A271,[1]Buscador!$B:$E,4,0)</f>
        <v>Montañita</v>
      </c>
      <c r="O271" t="str">
        <f>+VLOOKUP(A271,[1]Buscador!$B:$F,5,0)</f>
        <v>Santa Elena</v>
      </c>
      <c r="P271" t="s">
        <v>31</v>
      </c>
      <c r="S271" t="s">
        <v>32</v>
      </c>
      <c r="T271" t="s">
        <v>33</v>
      </c>
      <c r="U271" t="s">
        <v>1056</v>
      </c>
      <c r="V271" t="s">
        <v>1922</v>
      </c>
      <c r="W271" t="s">
        <v>1113</v>
      </c>
      <c r="X271" t="s">
        <v>1114</v>
      </c>
      <c r="Y271" t="s">
        <v>1115</v>
      </c>
      <c r="Z271" t="s">
        <v>1116</v>
      </c>
      <c r="AA271">
        <v>-1.8230011746999999</v>
      </c>
      <c r="AB271">
        <v>-80.753352321400001</v>
      </c>
      <c r="AC271">
        <v>0</v>
      </c>
      <c r="AD271">
        <f>+VLOOKUP(L271,Evalua!$G$2:$H$12,2,0)</f>
        <v>1</v>
      </c>
      <c r="AE271">
        <f>+VLOOKUP(M271,Evalua!$G$2:$H$12,2,0)</f>
        <v>2</v>
      </c>
    </row>
    <row r="272" spans="1:31" hidden="1" x14ac:dyDescent="0.2">
      <c r="A272" s="1" t="s">
        <v>1182</v>
      </c>
      <c r="B272" t="s">
        <v>1128</v>
      </c>
      <c r="E272" s="3" t="s">
        <v>1997</v>
      </c>
      <c r="G272" t="s">
        <v>98</v>
      </c>
      <c r="H272" t="s">
        <v>153</v>
      </c>
      <c r="I272" t="s">
        <v>26</v>
      </c>
      <c r="J272" t="s">
        <v>99</v>
      </c>
      <c r="K272" t="s">
        <v>46</v>
      </c>
      <c r="L272" t="s">
        <v>81</v>
      </c>
      <c r="M272" t="s">
        <v>160</v>
      </c>
      <c r="N272" t="str">
        <f>+VLOOKUP(A272,[1]Buscador!$B:$E,4,0)</f>
        <v>Durán</v>
      </c>
      <c r="O272" t="str">
        <f>+VLOOKUP(A272,[1]Buscador!$B:$F,5,0)</f>
        <v>Guayas</v>
      </c>
      <c r="P272" t="s">
        <v>153</v>
      </c>
      <c r="S272" t="s">
        <v>208</v>
      </c>
      <c r="T272" t="s">
        <v>126</v>
      </c>
      <c r="U272" t="s">
        <v>1128</v>
      </c>
      <c r="V272" t="s">
        <v>153</v>
      </c>
      <c r="W272" t="s">
        <v>1183</v>
      </c>
      <c r="X272" t="s">
        <v>1184</v>
      </c>
      <c r="Y272" t="s">
        <v>1185</v>
      </c>
      <c r="Z272" t="s">
        <v>1186</v>
      </c>
      <c r="AA272">
        <v>-2.1809080000000001</v>
      </c>
      <c r="AB272">
        <v>-79.814325999999994</v>
      </c>
      <c r="AC272">
        <v>0</v>
      </c>
      <c r="AD272">
        <f>+VLOOKUP(L272,Evalua!$G$2:$H$12,2,0)</f>
        <v>3</v>
      </c>
      <c r="AE272">
        <f>+VLOOKUP(M272,Evalua!$G$2:$H$12,2,0)</f>
        <v>1</v>
      </c>
    </row>
    <row r="273" spans="1:31" hidden="1" x14ac:dyDescent="0.2">
      <c r="A273" s="1" t="s">
        <v>1015</v>
      </c>
      <c r="B273" t="s">
        <v>958</v>
      </c>
      <c r="E273" s="3" t="s">
        <v>2009</v>
      </c>
      <c r="G273" t="s">
        <v>98</v>
      </c>
      <c r="H273" t="s">
        <v>153</v>
      </c>
      <c r="I273" t="s">
        <v>26</v>
      </c>
      <c r="J273" t="s">
        <v>99</v>
      </c>
      <c r="K273" t="s">
        <v>46</v>
      </c>
      <c r="L273" t="s">
        <v>28</v>
      </c>
      <c r="M273" t="s">
        <v>29</v>
      </c>
      <c r="N273" t="str">
        <f>+VLOOKUP(A273,[1]Buscador!$B:$E,4,0)</f>
        <v>Guayaquil</v>
      </c>
      <c r="O273" t="str">
        <f>+VLOOKUP(A273,[1]Buscador!$B:$F,5,0)</f>
        <v>Guayas</v>
      </c>
      <c r="P273" t="s">
        <v>31</v>
      </c>
      <c r="S273" t="s">
        <v>32</v>
      </c>
      <c r="T273" t="s">
        <v>33</v>
      </c>
      <c r="U273" t="s">
        <v>958</v>
      </c>
      <c r="V273" t="s">
        <v>153</v>
      </c>
      <c r="W273" t="s">
        <v>1016</v>
      </c>
      <c r="X273" t="s">
        <v>1017</v>
      </c>
      <c r="Y273" t="s">
        <v>1018</v>
      </c>
      <c r="Z273" t="s">
        <v>1019</v>
      </c>
      <c r="AA273">
        <v>-2.1823897507000001</v>
      </c>
      <c r="AB273">
        <v>-79.948905300099995</v>
      </c>
      <c r="AC273">
        <v>0</v>
      </c>
      <c r="AD273">
        <f>+VLOOKUP(L273,Evalua!$G$2:$H$12,2,0)</f>
        <v>1</v>
      </c>
      <c r="AE273">
        <f>+VLOOKUP(M273,Evalua!$G$2:$H$12,2,0)</f>
        <v>2</v>
      </c>
    </row>
    <row r="274" spans="1:31" hidden="1" x14ac:dyDescent="0.2">
      <c r="A274" s="1" t="s">
        <v>522</v>
      </c>
      <c r="B274" t="s">
        <v>468</v>
      </c>
      <c r="E274" s="3" t="s">
        <v>2006</v>
      </c>
      <c r="G274" t="s">
        <v>98</v>
      </c>
      <c r="H274" t="s">
        <v>153</v>
      </c>
      <c r="I274" t="s">
        <v>26</v>
      </c>
      <c r="J274" t="s">
        <v>99</v>
      </c>
      <c r="K274" t="s">
        <v>46</v>
      </c>
      <c r="L274" t="s">
        <v>28</v>
      </c>
      <c r="M274" t="s">
        <v>29</v>
      </c>
      <c r="N274" t="str">
        <f>+VLOOKUP(A274,[1]Buscador!$B:$E,4,0)</f>
        <v>Samborondón</v>
      </c>
      <c r="O274" t="str">
        <f>+VLOOKUP(A274,[1]Buscador!$B:$F,5,0)</f>
        <v>Guayas</v>
      </c>
      <c r="P274" t="s">
        <v>31</v>
      </c>
      <c r="S274" t="s">
        <v>32</v>
      </c>
      <c r="T274" t="s">
        <v>33</v>
      </c>
      <c r="U274" t="s">
        <v>468</v>
      </c>
      <c r="V274" t="s">
        <v>153</v>
      </c>
      <c r="W274" t="s">
        <v>523</v>
      </c>
      <c r="X274" t="s">
        <v>524</v>
      </c>
      <c r="Y274" t="s">
        <v>525</v>
      </c>
      <c r="Z274" t="s">
        <v>526</v>
      </c>
      <c r="AA274">
        <v>-2.0762679999999998</v>
      </c>
      <c r="AB274">
        <v>-79.857468999999995</v>
      </c>
      <c r="AC274">
        <v>0</v>
      </c>
      <c r="AD274">
        <f>+VLOOKUP(L274,Evalua!$G$2:$H$12,2,0)</f>
        <v>1</v>
      </c>
      <c r="AE274">
        <f>+VLOOKUP(M274,Evalua!$G$2:$H$12,2,0)</f>
        <v>2</v>
      </c>
    </row>
    <row r="275" spans="1:31" hidden="1" x14ac:dyDescent="0.2">
      <c r="A275" s="1" t="s">
        <v>416</v>
      </c>
      <c r="B275" t="s">
        <v>360</v>
      </c>
      <c r="E275" s="3" t="s">
        <v>2006</v>
      </c>
      <c r="G275" t="s">
        <v>98</v>
      </c>
      <c r="H275" t="s">
        <v>153</v>
      </c>
      <c r="I275" t="s">
        <v>26</v>
      </c>
      <c r="J275" t="s">
        <v>99</v>
      </c>
      <c r="K275" t="s">
        <v>46</v>
      </c>
      <c r="L275" t="s">
        <v>81</v>
      </c>
      <c r="M275" t="s">
        <v>160</v>
      </c>
      <c r="N275" t="str">
        <f>+VLOOKUP(A275,[1]Buscador!$B:$E,4,0)</f>
        <v>Durán</v>
      </c>
      <c r="O275" t="str">
        <f>+VLOOKUP(A275,[1]Buscador!$B:$F,5,0)</f>
        <v>Guayas</v>
      </c>
      <c r="P275" t="s">
        <v>418</v>
      </c>
      <c r="Q275">
        <v>0</v>
      </c>
      <c r="R275">
        <v>3</v>
      </c>
      <c r="S275" t="s">
        <v>208</v>
      </c>
      <c r="T275" t="s">
        <v>126</v>
      </c>
      <c r="U275" t="s">
        <v>360</v>
      </c>
      <c r="V275" t="s">
        <v>153</v>
      </c>
      <c r="W275" t="s">
        <v>419</v>
      </c>
      <c r="X275" t="s">
        <v>420</v>
      </c>
      <c r="Y275" t="s">
        <v>421</v>
      </c>
      <c r="Z275" t="s">
        <v>422</v>
      </c>
      <c r="AA275">
        <v>-2.1743156678000002</v>
      </c>
      <c r="AB275">
        <v>-79.803764279099994</v>
      </c>
      <c r="AC275">
        <v>0</v>
      </c>
      <c r="AD275">
        <f>+VLOOKUP(L275,Evalua!$G$2:$H$12,2,0)</f>
        <v>3</v>
      </c>
      <c r="AE275">
        <f>+VLOOKUP(M275,Evalua!$G$2:$H$12,2,0)</f>
        <v>1</v>
      </c>
    </row>
    <row r="276" spans="1:31" hidden="1" x14ac:dyDescent="0.2">
      <c r="A276" s="1" t="s">
        <v>771</v>
      </c>
      <c r="B276" t="s">
        <v>714</v>
      </c>
      <c r="E276" t="s">
        <v>1998</v>
      </c>
      <c r="G276" t="s">
        <v>98</v>
      </c>
      <c r="H276" t="s">
        <v>153</v>
      </c>
      <c r="I276" t="s">
        <v>26</v>
      </c>
      <c r="J276" t="s">
        <v>99</v>
      </c>
      <c r="K276" t="s">
        <v>46</v>
      </c>
      <c r="L276" t="s">
        <v>28</v>
      </c>
      <c r="M276" t="s">
        <v>29</v>
      </c>
      <c r="N276" t="str">
        <f>+VLOOKUP(A276,[1]Buscador!$B:$E,4,0)</f>
        <v>Olón</v>
      </c>
      <c r="O276" t="str">
        <f>+VLOOKUP(A276,[1]Buscador!$B:$F,5,0)</f>
        <v>Santa Elena</v>
      </c>
      <c r="P276" t="s">
        <v>153</v>
      </c>
      <c r="S276" t="s">
        <v>32</v>
      </c>
      <c r="T276" t="s">
        <v>33</v>
      </c>
      <c r="U276" t="s">
        <v>714</v>
      </c>
      <c r="V276" t="s">
        <v>1922</v>
      </c>
      <c r="W276" t="s">
        <v>772</v>
      </c>
      <c r="X276" t="s">
        <v>773</v>
      </c>
      <c r="Y276" t="s">
        <v>774</v>
      </c>
      <c r="Z276" t="s">
        <v>775</v>
      </c>
      <c r="AA276">
        <v>-1.7976933614999999</v>
      </c>
      <c r="AB276">
        <v>-80.756537034800004</v>
      </c>
      <c r="AC276">
        <v>0</v>
      </c>
      <c r="AD276">
        <f>+VLOOKUP(L276,Evalua!$G$2:$H$12,2,0)</f>
        <v>1</v>
      </c>
      <c r="AE276">
        <f>+VLOOKUP(M276,Evalua!$G$2:$H$12,2,0)</f>
        <v>2</v>
      </c>
    </row>
    <row r="277" spans="1:31" hidden="1" x14ac:dyDescent="0.2">
      <c r="A277" s="1" t="s">
        <v>223</v>
      </c>
      <c r="B277" t="s">
        <v>154</v>
      </c>
      <c r="E277" s="3" t="s">
        <v>2006</v>
      </c>
      <c r="G277" t="s">
        <v>98</v>
      </c>
      <c r="H277" t="s">
        <v>153</v>
      </c>
      <c r="I277" t="s">
        <v>26</v>
      </c>
      <c r="J277" t="s">
        <v>99</v>
      </c>
      <c r="K277" t="s">
        <v>46</v>
      </c>
      <c r="L277" t="s">
        <v>28</v>
      </c>
      <c r="M277" t="s">
        <v>29</v>
      </c>
      <c r="N277" t="str">
        <f>+VLOOKUP(A277,[1]Buscador!$B:$E,4,0)</f>
        <v>Samborondón</v>
      </c>
      <c r="O277" t="str">
        <f>+VLOOKUP(A277,[1]Buscador!$B:$F,5,0)</f>
        <v>Guayas</v>
      </c>
      <c r="P277" t="s">
        <v>31</v>
      </c>
      <c r="S277" t="s">
        <v>32</v>
      </c>
      <c r="T277" t="s">
        <v>33</v>
      </c>
      <c r="U277" t="s">
        <v>154</v>
      </c>
      <c r="V277" t="s">
        <v>153</v>
      </c>
      <c r="W277" t="s">
        <v>224</v>
      </c>
      <c r="X277" t="s">
        <v>225</v>
      </c>
      <c r="Y277" t="s">
        <v>226</v>
      </c>
      <c r="Z277" t="s">
        <v>227</v>
      </c>
      <c r="AA277">
        <v>-2.0371272618999998</v>
      </c>
      <c r="AB277">
        <v>-79.849024494999995</v>
      </c>
      <c r="AC277">
        <v>0</v>
      </c>
      <c r="AD277">
        <f>+VLOOKUP(L277,Evalua!$G$2:$H$12,2,0)</f>
        <v>1</v>
      </c>
      <c r="AE277">
        <f>+VLOOKUP(M277,Evalua!$G$2:$H$12,2,0)</f>
        <v>2</v>
      </c>
    </row>
    <row r="278" spans="1:31" hidden="1" x14ac:dyDescent="0.2">
      <c r="A278" s="1" t="s">
        <v>745</v>
      </c>
      <c r="B278" t="s">
        <v>690</v>
      </c>
      <c r="E278" s="3" t="s">
        <v>1991</v>
      </c>
      <c r="G278" t="s">
        <v>98</v>
      </c>
      <c r="H278" t="s">
        <v>153</v>
      </c>
      <c r="I278" t="s">
        <v>26</v>
      </c>
      <c r="J278" t="s">
        <v>99</v>
      </c>
      <c r="K278" t="s">
        <v>46</v>
      </c>
      <c r="L278" t="s">
        <v>81</v>
      </c>
      <c r="M278" t="s">
        <v>234</v>
      </c>
      <c r="N278" t="str">
        <f>+VLOOKUP(A278,[1]Buscador!$B:$E,4,0)</f>
        <v>Guayaquil</v>
      </c>
      <c r="O278" t="str">
        <f>+VLOOKUP(A278,[1]Buscador!$B:$F,5,0)</f>
        <v>Guayas</v>
      </c>
      <c r="P278" t="s">
        <v>153</v>
      </c>
      <c r="S278" t="s">
        <v>235</v>
      </c>
      <c r="T278" t="s">
        <v>33</v>
      </c>
      <c r="U278" t="s">
        <v>690</v>
      </c>
      <c r="V278" t="s">
        <v>153</v>
      </c>
      <c r="W278" t="s">
        <v>746</v>
      </c>
      <c r="X278" t="s">
        <v>747</v>
      </c>
      <c r="Y278" t="s">
        <v>748</v>
      </c>
      <c r="Z278" t="s">
        <v>749</v>
      </c>
      <c r="AA278">
        <v>-2.1202790936999998</v>
      </c>
      <c r="AB278">
        <v>-79.933586347000002</v>
      </c>
      <c r="AC278">
        <v>0</v>
      </c>
      <c r="AD278">
        <f>+VLOOKUP(L278,Evalua!$G$2:$H$12,2,0)</f>
        <v>3</v>
      </c>
      <c r="AE278">
        <f>+VLOOKUP(M278,Evalua!$G$2:$H$12,2,0)</f>
        <v>3</v>
      </c>
    </row>
    <row r="279" spans="1:31" hidden="1" x14ac:dyDescent="0.2">
      <c r="A279" s="1" t="s">
        <v>1259</v>
      </c>
      <c r="B279" t="s">
        <v>1260</v>
      </c>
      <c r="D279" t="s">
        <v>1990</v>
      </c>
      <c r="E279" t="s">
        <v>2001</v>
      </c>
      <c r="G279" t="s">
        <v>45</v>
      </c>
      <c r="H279" t="s">
        <v>153</v>
      </c>
      <c r="I279" t="s">
        <v>26</v>
      </c>
      <c r="J279" t="s">
        <v>2</v>
      </c>
      <c r="K279" t="s">
        <v>46</v>
      </c>
      <c r="L279" t="s">
        <v>28</v>
      </c>
      <c r="M279" t="s">
        <v>29</v>
      </c>
      <c r="N279" t="str">
        <f>+VLOOKUP(A279,[1]Buscador!$B:$E,4,0)</f>
        <v>Guayaquil</v>
      </c>
      <c r="O279" t="str">
        <f>+VLOOKUP(A279,[1]Buscador!$B:$F,5,0)</f>
        <v>Guayas</v>
      </c>
      <c r="P279" t="s">
        <v>153</v>
      </c>
      <c r="S279" t="s">
        <v>32</v>
      </c>
      <c r="T279" t="s">
        <v>33</v>
      </c>
      <c r="U279" t="s">
        <v>1188</v>
      </c>
      <c r="V279" t="s">
        <v>153</v>
      </c>
      <c r="W279" t="s">
        <v>1261</v>
      </c>
      <c r="X279" t="s">
        <v>1262</v>
      </c>
      <c r="Y279" t="s">
        <v>1263</v>
      </c>
      <c r="Z279" t="s">
        <v>1264</v>
      </c>
      <c r="AA279">
        <v>-2.1821773073999999</v>
      </c>
      <c r="AB279">
        <v>-79.902534732500001</v>
      </c>
      <c r="AC279">
        <v>0</v>
      </c>
      <c r="AD279">
        <f>+VLOOKUP(L279,Evalua!$G$2:$H$12,2,0)</f>
        <v>1</v>
      </c>
      <c r="AE279">
        <f>+VLOOKUP(M279,Evalua!$G$2:$H$12,2,0)</f>
        <v>2</v>
      </c>
    </row>
    <row r="280" spans="1:31" hidden="1" x14ac:dyDescent="0.2">
      <c r="A280" s="1" t="s">
        <v>385</v>
      </c>
      <c r="B280" t="s">
        <v>330</v>
      </c>
      <c r="E280" s="3" t="s">
        <v>2006</v>
      </c>
      <c r="G280" t="s">
        <v>98</v>
      </c>
      <c r="H280" t="s">
        <v>153</v>
      </c>
      <c r="I280" t="s">
        <v>26</v>
      </c>
      <c r="J280" t="s">
        <v>99</v>
      </c>
      <c r="K280" t="s">
        <v>46</v>
      </c>
      <c r="L280" t="s">
        <v>28</v>
      </c>
      <c r="M280" t="s">
        <v>29</v>
      </c>
      <c r="N280" t="str">
        <f>+VLOOKUP(A280,[1]Buscador!$B:$E,4,0)</f>
        <v>Samborondón</v>
      </c>
      <c r="O280" t="str">
        <f>+VLOOKUP(A280,[1]Buscador!$B:$F,5,0)</f>
        <v>Guayas</v>
      </c>
      <c r="P280" t="s">
        <v>31</v>
      </c>
      <c r="S280" t="s">
        <v>32</v>
      </c>
      <c r="T280" t="s">
        <v>33</v>
      </c>
      <c r="U280" t="s">
        <v>330</v>
      </c>
      <c r="V280" t="s">
        <v>153</v>
      </c>
      <c r="W280" t="s">
        <v>387</v>
      </c>
      <c r="X280" t="s">
        <v>388</v>
      </c>
      <c r="Y280" t="s">
        <v>389</v>
      </c>
      <c r="Z280" t="s">
        <v>390</v>
      </c>
      <c r="AA280">
        <v>-2.0760679426999999</v>
      </c>
      <c r="AB280">
        <v>-79.853145662200006</v>
      </c>
      <c r="AC280">
        <v>0</v>
      </c>
      <c r="AD280">
        <f>+VLOOKUP(L280,Evalua!$G$2:$H$12,2,0)</f>
        <v>1</v>
      </c>
      <c r="AE280">
        <f>+VLOOKUP(M280,Evalua!$G$2:$H$12,2,0)</f>
        <v>2</v>
      </c>
    </row>
    <row r="281" spans="1:31" hidden="1" x14ac:dyDescent="0.2">
      <c r="A281" s="1" t="s">
        <v>1207</v>
      </c>
      <c r="B281" t="s">
        <v>1153</v>
      </c>
      <c r="C281" t="s">
        <v>2031</v>
      </c>
      <c r="D281" t="s">
        <v>2014</v>
      </c>
      <c r="E281" s="3" t="s">
        <v>1998</v>
      </c>
      <c r="G281" t="s">
        <v>98</v>
      </c>
      <c r="H281" t="s">
        <v>153</v>
      </c>
      <c r="I281" t="s">
        <v>26</v>
      </c>
      <c r="J281" t="s">
        <v>99</v>
      </c>
      <c r="K281" t="s">
        <v>46</v>
      </c>
      <c r="L281" t="s">
        <v>28</v>
      </c>
      <c r="M281" t="s">
        <v>29</v>
      </c>
      <c r="N281" t="str">
        <f>+VLOOKUP(A281,[1]Buscador!$B:$E,4,0)</f>
        <v>Guayaquil</v>
      </c>
      <c r="O281" t="str">
        <f>+VLOOKUP(A281,[1]Buscador!$B:$F,5,0)</f>
        <v>Guayas</v>
      </c>
      <c r="P281" t="s">
        <v>31</v>
      </c>
      <c r="S281" t="s">
        <v>32</v>
      </c>
      <c r="T281" t="s">
        <v>33</v>
      </c>
      <c r="U281" t="s">
        <v>1153</v>
      </c>
      <c r="V281" t="s">
        <v>153</v>
      </c>
      <c r="W281" t="s">
        <v>1208</v>
      </c>
      <c r="X281" t="s">
        <v>1209</v>
      </c>
      <c r="Y281" t="s">
        <v>1210</v>
      </c>
      <c r="Z281" t="s">
        <v>1211</v>
      </c>
      <c r="AA281">
        <v>-2.1935762603</v>
      </c>
      <c r="AB281">
        <v>-79.882873423899994</v>
      </c>
      <c r="AC281">
        <v>0</v>
      </c>
      <c r="AD281">
        <f>+VLOOKUP(L281,Evalua!$G$2:$H$12,2,0)</f>
        <v>1</v>
      </c>
      <c r="AE281">
        <f>+VLOOKUP(M281,Evalua!$G$2:$H$12,2,0)</f>
        <v>2</v>
      </c>
    </row>
    <row r="282" spans="1:31" hidden="1" x14ac:dyDescent="0.2">
      <c r="A282" t="s">
        <v>1974</v>
      </c>
      <c r="B282" t="s">
        <v>1978</v>
      </c>
      <c r="G282" t="s">
        <v>1978</v>
      </c>
      <c r="I282" t="s">
        <v>26</v>
      </c>
      <c r="J282" t="s">
        <v>99</v>
      </c>
      <c r="L282" t="s">
        <v>28</v>
      </c>
      <c r="M282" t="s">
        <v>234</v>
      </c>
      <c r="N282" t="s">
        <v>1986</v>
      </c>
      <c r="O282" t="s">
        <v>1912</v>
      </c>
      <c r="P282" t="s">
        <v>31</v>
      </c>
      <c r="S282" t="s">
        <v>32</v>
      </c>
      <c r="U282" t="str">
        <f>B282</f>
        <v>MALL DEL ALTO</v>
      </c>
      <c r="V282" t="s">
        <v>153</v>
      </c>
      <c r="Z282" t="s">
        <v>1982</v>
      </c>
      <c r="AA282">
        <v>-2.9212715434676202</v>
      </c>
      <c r="AB282">
        <v>-79.015012422895197</v>
      </c>
      <c r="AC282">
        <v>0</v>
      </c>
      <c r="AD282">
        <f>+VLOOKUP(L282,Evalua!$G$2:$H$12,2,0)</f>
        <v>1</v>
      </c>
      <c r="AE282">
        <f>+VLOOKUP(M282,Evalua!$G$2:$H$12,2,0)</f>
        <v>3</v>
      </c>
    </row>
    <row r="283" spans="1:31" hidden="1" x14ac:dyDescent="0.2">
      <c r="A283" t="s">
        <v>1973</v>
      </c>
      <c r="B283" t="s">
        <v>1977</v>
      </c>
      <c r="E283" t="s">
        <v>2016</v>
      </c>
      <c r="G283" t="s">
        <v>1977</v>
      </c>
      <c r="I283" t="s">
        <v>26</v>
      </c>
      <c r="J283" t="s">
        <v>99</v>
      </c>
      <c r="L283" t="s">
        <v>123</v>
      </c>
      <c r="M283" t="s">
        <v>29</v>
      </c>
      <c r="N283" t="s">
        <v>1985</v>
      </c>
      <c r="O283" t="s">
        <v>1910</v>
      </c>
      <c r="P283" t="s">
        <v>31</v>
      </c>
      <c r="S283" t="s">
        <v>125</v>
      </c>
      <c r="U283" t="str">
        <f>B283</f>
        <v>TUTI VINCES</v>
      </c>
      <c r="V283" t="s">
        <v>153</v>
      </c>
      <c r="Z283" t="s">
        <v>1981</v>
      </c>
      <c r="AA283">
        <v>-1.5557944004363</v>
      </c>
      <c r="AB283">
        <v>-79.753084928519101</v>
      </c>
      <c r="AC283">
        <v>0</v>
      </c>
      <c r="AD283">
        <f>+VLOOKUP(L283,Evalua!$G$2:$H$12,2,0)</f>
        <v>4</v>
      </c>
      <c r="AE283">
        <f>+VLOOKUP(M283,Evalua!$G$2:$H$12,2,0)</f>
        <v>2</v>
      </c>
    </row>
    <row r="284" spans="1:31" hidden="1" x14ac:dyDescent="0.2">
      <c r="A284" t="s">
        <v>1972</v>
      </c>
      <c r="B284" t="s">
        <v>1976</v>
      </c>
      <c r="E284" t="s">
        <v>2017</v>
      </c>
      <c r="G284" t="s">
        <v>1976</v>
      </c>
      <c r="I284" t="s">
        <v>26</v>
      </c>
      <c r="J284" t="s">
        <v>99</v>
      </c>
      <c r="L284" t="s">
        <v>81</v>
      </c>
      <c r="M284" t="s">
        <v>29</v>
      </c>
      <c r="N284" t="s">
        <v>1984</v>
      </c>
      <c r="O284" t="s">
        <v>1910</v>
      </c>
      <c r="P284" t="s">
        <v>31</v>
      </c>
      <c r="S284" t="s">
        <v>82</v>
      </c>
      <c r="U284" t="str">
        <f>B284</f>
        <v>TUTI VENTANAS</v>
      </c>
      <c r="V284" t="s">
        <v>153</v>
      </c>
      <c r="Z284" t="s">
        <v>1980</v>
      </c>
      <c r="AA284">
        <v>-1.4443708373524999</v>
      </c>
      <c r="AB284">
        <v>-79.463636302702398</v>
      </c>
      <c r="AC284">
        <v>0</v>
      </c>
      <c r="AD284">
        <f>+VLOOKUP(L284,Evalua!$G$2:$H$12,2,0)</f>
        <v>3</v>
      </c>
      <c r="AE284">
        <f>+VLOOKUP(M284,Evalua!$G$2:$H$12,2,0)</f>
        <v>2</v>
      </c>
    </row>
    <row r="285" spans="1:31" hidden="1" x14ac:dyDescent="0.2">
      <c r="A285" t="s">
        <v>1971</v>
      </c>
      <c r="B285" t="s">
        <v>1975</v>
      </c>
      <c r="G285" t="s">
        <v>1975</v>
      </c>
      <c r="I285" t="s">
        <v>26</v>
      </c>
      <c r="J285" t="s">
        <v>99</v>
      </c>
      <c r="L285" t="s">
        <v>28</v>
      </c>
      <c r="M285" t="s">
        <v>29</v>
      </c>
      <c r="O285" t="s">
        <v>1904</v>
      </c>
      <c r="P285" t="s">
        <v>31</v>
      </c>
      <c r="S285" t="s">
        <v>82</v>
      </c>
      <c r="U285" t="str">
        <f>B285</f>
        <v>TUTI QUITUMBE</v>
      </c>
      <c r="V285" t="s">
        <v>153</v>
      </c>
      <c r="Z285" t="s">
        <v>1979</v>
      </c>
      <c r="AA285">
        <v>-0.29636019146092102</v>
      </c>
      <c r="AB285">
        <v>-78.546334088160293</v>
      </c>
      <c r="AC285">
        <v>0</v>
      </c>
      <c r="AD285">
        <f>+VLOOKUP(L285,Evalua!$G$2:$H$12,2,0)</f>
        <v>1</v>
      </c>
      <c r="AE285">
        <f>+VLOOKUP(M285,Evalua!$G$2:$H$12,2,0)</f>
        <v>2</v>
      </c>
    </row>
    <row r="286" spans="1:31" hidden="1" x14ac:dyDescent="0.2">
      <c r="A286" s="1" t="s">
        <v>1689</v>
      </c>
      <c r="B286" t="s">
        <v>1690</v>
      </c>
      <c r="D286" t="s">
        <v>2003</v>
      </c>
      <c r="E286" t="s">
        <v>1997</v>
      </c>
      <c r="G286" t="s">
        <v>1691</v>
      </c>
      <c r="H286" t="s">
        <v>153</v>
      </c>
      <c r="I286" t="s">
        <v>26</v>
      </c>
      <c r="J286" t="s">
        <v>2</v>
      </c>
      <c r="K286" t="s">
        <v>46</v>
      </c>
      <c r="L286" t="s">
        <v>28</v>
      </c>
      <c r="M286" t="s">
        <v>29</v>
      </c>
      <c r="N286" t="str">
        <f>+VLOOKUP(A286,[1]Buscador!$B:$E,4,0)</f>
        <v>Guayaquil</v>
      </c>
      <c r="O286" t="str">
        <f>+VLOOKUP(A286,[1]Buscador!$B:$F,5,0)</f>
        <v>Guayas</v>
      </c>
      <c r="P286" t="s">
        <v>31</v>
      </c>
      <c r="S286" t="s">
        <v>32</v>
      </c>
      <c r="T286" t="s">
        <v>33</v>
      </c>
      <c r="U286" t="s">
        <v>1420</v>
      </c>
      <c r="V286" t="s">
        <v>153</v>
      </c>
      <c r="X286" t="s">
        <v>1692</v>
      </c>
      <c r="Z286" t="s">
        <v>1941</v>
      </c>
      <c r="AA286">
        <v>-2.1711770000000001</v>
      </c>
      <c r="AB286">
        <v>-79.900566999999995</v>
      </c>
      <c r="AC286">
        <v>0</v>
      </c>
      <c r="AD286">
        <f>+VLOOKUP(L286,Evalua!$G$2:$H$12,2,0)</f>
        <v>1</v>
      </c>
      <c r="AE286">
        <f>+VLOOKUP(M286,Evalua!$G$2:$H$12,2,0)</f>
        <v>2</v>
      </c>
    </row>
    <row r="287" spans="1:31" hidden="1" x14ac:dyDescent="0.2">
      <c r="A287" s="1" t="s">
        <v>1751</v>
      </c>
      <c r="B287" t="s">
        <v>1752</v>
      </c>
      <c r="G287" t="s">
        <v>1753</v>
      </c>
      <c r="H287" t="s">
        <v>153</v>
      </c>
      <c r="I287" t="s">
        <v>26</v>
      </c>
      <c r="J287" t="s">
        <v>2</v>
      </c>
      <c r="K287" t="s">
        <v>27</v>
      </c>
      <c r="L287" t="s">
        <v>28</v>
      </c>
      <c r="M287" t="s">
        <v>29</v>
      </c>
      <c r="N287" t="str">
        <f>+VLOOKUP(A287,[1]Buscador!$B:$E,4,0)</f>
        <v>Quito</v>
      </c>
      <c r="O287" t="str">
        <f>+VLOOKUP(A287,[1]Buscador!$B:$F,5,0)</f>
        <v>Pichincha</v>
      </c>
      <c r="P287" t="s">
        <v>31</v>
      </c>
      <c r="S287" t="s">
        <v>32</v>
      </c>
      <c r="T287" t="s">
        <v>33</v>
      </c>
      <c r="U287" t="s">
        <v>1470</v>
      </c>
      <c r="V287" t="s">
        <v>153</v>
      </c>
      <c r="X287" t="s">
        <v>1754</v>
      </c>
      <c r="Z287" t="s">
        <v>1951</v>
      </c>
      <c r="AA287">
        <v>-0.1524604</v>
      </c>
      <c r="AB287">
        <v>-78.484634400000004</v>
      </c>
      <c r="AC287">
        <v>0</v>
      </c>
      <c r="AD287">
        <f>+VLOOKUP(L287,Evalua!$G$2:$H$12,2,0)</f>
        <v>1</v>
      </c>
      <c r="AE287">
        <f>+VLOOKUP(M287,Evalua!$G$2:$H$12,2,0)</f>
        <v>2</v>
      </c>
    </row>
    <row r="288" spans="1:31" hidden="1" x14ac:dyDescent="0.2">
      <c r="A288" s="1" t="s">
        <v>1722</v>
      </c>
      <c r="B288" t="s">
        <v>1723</v>
      </c>
      <c r="D288" t="s">
        <v>1996</v>
      </c>
      <c r="E288" t="s">
        <v>1993</v>
      </c>
      <c r="G288" t="s">
        <v>182</v>
      </c>
      <c r="H288" t="s">
        <v>153</v>
      </c>
      <c r="I288" t="s">
        <v>26</v>
      </c>
      <c r="J288" t="s">
        <v>2</v>
      </c>
      <c r="K288" t="s">
        <v>183</v>
      </c>
      <c r="L288" t="s">
        <v>28</v>
      </c>
      <c r="M288" t="s">
        <v>160</v>
      </c>
      <c r="N288" t="str">
        <f>+VLOOKUP(A288,[1]Buscador!$B:$E,4,0)</f>
        <v>Quevedo</v>
      </c>
      <c r="O288" t="str">
        <f>+VLOOKUP(A288,[1]Buscador!$B:$F,5,0)</f>
        <v>Los Ríos</v>
      </c>
      <c r="P288" t="s">
        <v>31</v>
      </c>
      <c r="S288" t="s">
        <v>162</v>
      </c>
      <c r="T288" t="s">
        <v>83</v>
      </c>
      <c r="U288" t="s">
        <v>184</v>
      </c>
      <c r="V288" t="s">
        <v>153</v>
      </c>
      <c r="X288" t="s">
        <v>1724</v>
      </c>
      <c r="Z288" t="s">
        <v>1947</v>
      </c>
      <c r="AA288">
        <v>-1.0240457901493001</v>
      </c>
      <c r="AB288">
        <v>-79.465783077013</v>
      </c>
      <c r="AC288">
        <v>0</v>
      </c>
      <c r="AD288">
        <f>+VLOOKUP(L288,Evalua!$G$2:$H$12,2,0)</f>
        <v>1</v>
      </c>
      <c r="AE288">
        <f>+VLOOKUP(M288,Evalua!$G$2:$H$12,2,0)</f>
        <v>1</v>
      </c>
    </row>
    <row r="289" spans="1:31" hidden="1" x14ac:dyDescent="0.2">
      <c r="A289" s="1" t="s">
        <v>1521</v>
      </c>
      <c r="B289" t="s">
        <v>1522</v>
      </c>
      <c r="G289" t="s">
        <v>1523</v>
      </c>
      <c r="H289" t="s">
        <v>153</v>
      </c>
      <c r="I289" t="s">
        <v>26</v>
      </c>
      <c r="J289" t="s">
        <v>2</v>
      </c>
      <c r="K289" t="s">
        <v>46</v>
      </c>
      <c r="L289" t="s">
        <v>28</v>
      </c>
      <c r="M289" t="s">
        <v>29</v>
      </c>
      <c r="N289" t="str">
        <f>+VLOOKUP(A289,[1]Buscador!$B:$E,4,0)</f>
        <v>La Troncal</v>
      </c>
      <c r="O289" t="str">
        <f>+VLOOKUP(A289,[1]Buscador!$B:$F,5,0)</f>
        <v>Cañar</v>
      </c>
      <c r="P289" t="s">
        <v>31</v>
      </c>
      <c r="S289" t="s">
        <v>32</v>
      </c>
      <c r="T289" t="s">
        <v>33</v>
      </c>
      <c r="U289" t="s">
        <v>1300</v>
      </c>
      <c r="V289" t="s">
        <v>153</v>
      </c>
      <c r="W289" t="s">
        <v>386</v>
      </c>
      <c r="X289" t="s">
        <v>1524</v>
      </c>
      <c r="Y289" t="s">
        <v>1525</v>
      </c>
      <c r="Z289" t="s">
        <v>1526</v>
      </c>
      <c r="AA289">
        <v>-2.4231470859000002</v>
      </c>
      <c r="AB289">
        <v>-79.343161461999998</v>
      </c>
      <c r="AC289">
        <v>0</v>
      </c>
      <c r="AD289">
        <f>+VLOOKUP(L289,Evalua!$G$2:$H$12,2,0)</f>
        <v>1</v>
      </c>
      <c r="AE289">
        <f>+VLOOKUP(M289,Evalua!$G$2:$H$12,2,0)</f>
        <v>2</v>
      </c>
    </row>
    <row r="290" spans="1:31" hidden="1" x14ac:dyDescent="0.2">
      <c r="A290" s="1" t="s">
        <v>43</v>
      </c>
      <c r="B290" t="s">
        <v>44</v>
      </c>
      <c r="D290" t="s">
        <v>1990</v>
      </c>
      <c r="E290" t="s">
        <v>1997</v>
      </c>
      <c r="G290" t="s">
        <v>45</v>
      </c>
      <c r="H290" t="s">
        <v>153</v>
      </c>
      <c r="I290" t="s">
        <v>26</v>
      </c>
      <c r="J290" t="s">
        <v>2</v>
      </c>
      <c r="K290" t="s">
        <v>46</v>
      </c>
      <c r="L290" t="s">
        <v>28</v>
      </c>
      <c r="M290" t="s">
        <v>29</v>
      </c>
      <c r="N290" t="str">
        <f>+VLOOKUP(A290,[1]Buscador!$B:$E,4,0)</f>
        <v>Guayaquil</v>
      </c>
      <c r="O290" t="str">
        <f>+VLOOKUP(A290,[1]Buscador!$B:$F,5,0)</f>
        <v>Guayas</v>
      </c>
      <c r="P290" t="s">
        <v>31</v>
      </c>
      <c r="S290" t="s">
        <v>32</v>
      </c>
      <c r="T290" t="s">
        <v>33</v>
      </c>
      <c r="U290" t="s">
        <v>40</v>
      </c>
      <c r="V290" t="s">
        <v>153</v>
      </c>
      <c r="W290" t="s">
        <v>48</v>
      </c>
      <c r="X290" t="s">
        <v>49</v>
      </c>
      <c r="Y290" t="s">
        <v>50</v>
      </c>
      <c r="Z290" t="s">
        <v>51</v>
      </c>
      <c r="AA290">
        <v>-2.1875789120000002</v>
      </c>
      <c r="AB290">
        <v>-79.895072277500006</v>
      </c>
      <c r="AC290">
        <v>0</v>
      </c>
      <c r="AD290">
        <f>+VLOOKUP(L290,Evalua!$G$2:$H$12,2,0)</f>
        <v>1</v>
      </c>
      <c r="AE290">
        <f>+VLOOKUP(M290,Evalua!$G$2:$H$12,2,0)</f>
        <v>2</v>
      </c>
    </row>
    <row r="291" spans="1:31" hidden="1" x14ac:dyDescent="0.2">
      <c r="A291" s="1" t="s">
        <v>1546</v>
      </c>
      <c r="B291" t="s">
        <v>1547</v>
      </c>
      <c r="G291" t="s">
        <v>1548</v>
      </c>
      <c r="H291" t="s">
        <v>153</v>
      </c>
      <c r="I291" t="s">
        <v>26</v>
      </c>
      <c r="J291" t="s">
        <v>2</v>
      </c>
      <c r="K291" t="s">
        <v>159</v>
      </c>
      <c r="L291" t="s">
        <v>28</v>
      </c>
      <c r="M291" t="s">
        <v>29</v>
      </c>
      <c r="N291" t="str">
        <f>+VLOOKUP(A291,[1]Buscador!$B:$E,4,0)</f>
        <v>Loja</v>
      </c>
      <c r="O291" t="str">
        <f>+VLOOKUP(A291,[1]Buscador!$B:$F,5,0)</f>
        <v>Loja</v>
      </c>
      <c r="P291" t="s">
        <v>31</v>
      </c>
      <c r="S291" t="s">
        <v>32</v>
      </c>
      <c r="T291" t="s">
        <v>33</v>
      </c>
      <c r="U291" t="s">
        <v>1310</v>
      </c>
      <c r="V291" t="s">
        <v>153</v>
      </c>
      <c r="W291" t="s">
        <v>1549</v>
      </c>
      <c r="X291" t="s">
        <v>1550</v>
      </c>
      <c r="Y291" t="s">
        <v>1551</v>
      </c>
      <c r="Z291" t="s">
        <v>1552</v>
      </c>
      <c r="AA291">
        <v>-3.9964520000000001</v>
      </c>
      <c r="AB291">
        <v>-79.203559999999996</v>
      </c>
      <c r="AC291">
        <v>0</v>
      </c>
      <c r="AD291">
        <f>+VLOOKUP(L291,Evalua!$G$2:$H$12,2,0)</f>
        <v>1</v>
      </c>
      <c r="AE291">
        <f>+VLOOKUP(M291,Evalua!$G$2:$H$12,2,0)</f>
        <v>2</v>
      </c>
    </row>
    <row r="292" spans="1:31" hidden="1" x14ac:dyDescent="0.2">
      <c r="A292" s="1" t="s">
        <v>1650</v>
      </c>
      <c r="B292" t="s">
        <v>1651</v>
      </c>
      <c r="D292" t="s">
        <v>2011</v>
      </c>
      <c r="E292" t="s">
        <v>1998</v>
      </c>
      <c r="G292" t="s">
        <v>1632</v>
      </c>
      <c r="H292" t="s">
        <v>153</v>
      </c>
      <c r="I292" t="s">
        <v>26</v>
      </c>
      <c r="J292" t="s">
        <v>2</v>
      </c>
      <c r="K292" t="s">
        <v>46</v>
      </c>
      <c r="L292" t="s">
        <v>123</v>
      </c>
      <c r="M292" t="s">
        <v>29</v>
      </c>
      <c r="N292" t="str">
        <f>+VLOOKUP(A292,[1]Buscador!$B:$E,4,0)</f>
        <v>Milagro</v>
      </c>
      <c r="O292" t="str">
        <f>+VLOOKUP(A292,[1]Buscador!$B:$F,5,0)</f>
        <v>Guayas</v>
      </c>
      <c r="P292" t="s">
        <v>31</v>
      </c>
      <c r="S292" t="s">
        <v>125</v>
      </c>
      <c r="T292" t="s">
        <v>126</v>
      </c>
      <c r="U292" t="s">
        <v>304</v>
      </c>
      <c r="V292" t="s">
        <v>153</v>
      </c>
      <c r="X292" t="s">
        <v>1652</v>
      </c>
      <c r="Z292" t="s">
        <v>1936</v>
      </c>
      <c r="AA292">
        <v>-2.1288529999999999</v>
      </c>
      <c r="AB292">
        <v>-79.591199000000003</v>
      </c>
      <c r="AC292">
        <v>0</v>
      </c>
      <c r="AD292">
        <f>+VLOOKUP(L292,Evalua!$G$2:$H$12,2,0)</f>
        <v>4</v>
      </c>
      <c r="AE292">
        <f>+VLOOKUP(M292,Evalua!$G$2:$H$12,2,0)</f>
        <v>2</v>
      </c>
    </row>
    <row r="293" spans="1:31" hidden="1" x14ac:dyDescent="0.2">
      <c r="A293" s="1" t="s">
        <v>297</v>
      </c>
      <c r="B293" t="s">
        <v>241</v>
      </c>
      <c r="D293" t="s">
        <v>1990</v>
      </c>
      <c r="E293" t="s">
        <v>2001</v>
      </c>
      <c r="G293" t="s">
        <v>98</v>
      </c>
      <c r="H293" t="s">
        <v>153</v>
      </c>
      <c r="I293" t="s">
        <v>26</v>
      </c>
      <c r="J293" t="s">
        <v>99</v>
      </c>
      <c r="K293" t="s">
        <v>170</v>
      </c>
      <c r="L293" t="s">
        <v>28</v>
      </c>
      <c r="M293" t="s">
        <v>29</v>
      </c>
      <c r="N293" t="str">
        <f>+VLOOKUP(A293,[1]Buscador!$B:$E,4,0)</f>
        <v>Manta</v>
      </c>
      <c r="O293" t="str">
        <f>+VLOOKUP(A293,[1]Buscador!$B:$F,5,0)</f>
        <v>Manabí</v>
      </c>
      <c r="P293" t="s">
        <v>31</v>
      </c>
      <c r="S293" t="s">
        <v>32</v>
      </c>
      <c r="T293" t="s">
        <v>33</v>
      </c>
      <c r="U293" t="s">
        <v>241</v>
      </c>
      <c r="V293" t="s">
        <v>153</v>
      </c>
      <c r="W293" t="s">
        <v>299</v>
      </c>
      <c r="X293" t="s">
        <v>300</v>
      </c>
      <c r="Y293" t="s">
        <v>301</v>
      </c>
      <c r="Z293" t="s">
        <v>302</v>
      </c>
      <c r="AA293">
        <v>-0.96635436269999997</v>
      </c>
      <c r="AB293">
        <v>-80.705825555299995</v>
      </c>
      <c r="AC293">
        <v>0</v>
      </c>
      <c r="AD293">
        <f>+VLOOKUP(L293,Evalua!$G$2:$H$12,2,0)</f>
        <v>1</v>
      </c>
      <c r="AE293">
        <f>+VLOOKUP(M293,Evalua!$G$2:$H$12,2,0)</f>
        <v>2</v>
      </c>
    </row>
    <row r="294" spans="1:31" hidden="1" x14ac:dyDescent="0.2">
      <c r="A294" s="1" t="s">
        <v>291</v>
      </c>
      <c r="B294" t="s">
        <v>236</v>
      </c>
      <c r="D294" t="s">
        <v>1990</v>
      </c>
      <c r="E294" t="s">
        <v>2000</v>
      </c>
      <c r="G294" t="s">
        <v>98</v>
      </c>
      <c r="H294" t="s">
        <v>153</v>
      </c>
      <c r="I294" t="s">
        <v>26</v>
      </c>
      <c r="J294" t="s">
        <v>99</v>
      </c>
      <c r="K294" t="s">
        <v>46</v>
      </c>
      <c r="L294" t="s">
        <v>28</v>
      </c>
      <c r="M294" t="s">
        <v>29</v>
      </c>
      <c r="N294" t="str">
        <f>+VLOOKUP(A294,[1]Buscador!$B:$E,4,0)</f>
        <v>La Libertad</v>
      </c>
      <c r="O294" t="str">
        <f>+VLOOKUP(A294,[1]Buscador!$B:$F,5,0)</f>
        <v>Santa Elena</v>
      </c>
      <c r="P294" t="s">
        <v>31</v>
      </c>
      <c r="S294" t="s">
        <v>32</v>
      </c>
      <c r="T294" t="s">
        <v>33</v>
      </c>
      <c r="U294" t="s">
        <v>236</v>
      </c>
      <c r="V294" t="s">
        <v>1922</v>
      </c>
      <c r="W294" t="s">
        <v>293</v>
      </c>
      <c r="X294" t="s">
        <v>294</v>
      </c>
      <c r="Y294" t="s">
        <v>295</v>
      </c>
      <c r="Z294" t="s">
        <v>296</v>
      </c>
      <c r="AA294">
        <v>-2.2259149907000002</v>
      </c>
      <c r="AB294">
        <v>-80.921130024500002</v>
      </c>
      <c r="AC294">
        <v>0</v>
      </c>
      <c r="AD294">
        <f>+VLOOKUP(L294,Evalua!$G$2:$H$12,2,0)</f>
        <v>1</v>
      </c>
      <c r="AE294">
        <f>+VLOOKUP(M294,Evalua!$G$2:$H$12,2,0)</f>
        <v>2</v>
      </c>
    </row>
    <row r="295" spans="1:31" hidden="1" x14ac:dyDescent="0.2">
      <c r="A295" s="1" t="s">
        <v>309</v>
      </c>
      <c r="B295" t="s">
        <v>252</v>
      </c>
      <c r="D295" t="s">
        <v>1996</v>
      </c>
      <c r="E295" t="s">
        <v>1991</v>
      </c>
      <c r="G295" t="s">
        <v>98</v>
      </c>
      <c r="H295" t="s">
        <v>153</v>
      </c>
      <c r="I295" t="s">
        <v>26</v>
      </c>
      <c r="J295" t="s">
        <v>99</v>
      </c>
      <c r="K295" t="s">
        <v>170</v>
      </c>
      <c r="L295" t="s">
        <v>81</v>
      </c>
      <c r="M295" t="s">
        <v>29</v>
      </c>
      <c r="N295" t="str">
        <f>+VLOOKUP(A295,[1]Buscador!$B:$E,4,0)</f>
        <v>Portoviejo</v>
      </c>
      <c r="O295" t="str">
        <f>+VLOOKUP(A295,[1]Buscador!$B:$F,5,0)</f>
        <v>Manabí</v>
      </c>
      <c r="P295" t="s">
        <v>31</v>
      </c>
      <c r="S295" t="s">
        <v>82</v>
      </c>
      <c r="T295" t="s">
        <v>83</v>
      </c>
      <c r="U295" t="s">
        <v>252</v>
      </c>
      <c r="V295" t="s">
        <v>153</v>
      </c>
      <c r="W295" t="s">
        <v>310</v>
      </c>
      <c r="X295" t="s">
        <v>311</v>
      </c>
      <c r="Y295" t="s">
        <v>312</v>
      </c>
      <c r="Z295" t="s">
        <v>313</v>
      </c>
      <c r="AA295">
        <v>-1.0611303680999999</v>
      </c>
      <c r="AB295">
        <v>-80.465528737400007</v>
      </c>
      <c r="AC295">
        <v>0</v>
      </c>
      <c r="AD295">
        <f>+VLOOKUP(L295,Evalua!$G$2:$H$12,2,0)</f>
        <v>3</v>
      </c>
      <c r="AE295">
        <f>+VLOOKUP(M295,Evalua!$G$2:$H$12,2,0)</f>
        <v>2</v>
      </c>
    </row>
    <row r="296" spans="1:31" hidden="1" x14ac:dyDescent="0.2">
      <c r="A296" s="1" t="s">
        <v>1630</v>
      </c>
      <c r="B296" t="s">
        <v>1631</v>
      </c>
      <c r="D296" t="s">
        <v>2002</v>
      </c>
      <c r="E296" t="s">
        <v>1992</v>
      </c>
      <c r="G296" t="s">
        <v>1632</v>
      </c>
      <c r="H296" t="s">
        <v>153</v>
      </c>
      <c r="I296" t="s">
        <v>26</v>
      </c>
      <c r="J296" t="s">
        <v>2</v>
      </c>
      <c r="K296" t="s">
        <v>46</v>
      </c>
      <c r="L296" t="s">
        <v>28</v>
      </c>
      <c r="M296" t="s">
        <v>29</v>
      </c>
      <c r="N296" t="str">
        <f>+VLOOKUP(A296,[1]Buscador!$B:$E,4,0)</f>
        <v>Coronel Marcelino Maridueña</v>
      </c>
      <c r="O296" t="str">
        <f>+VLOOKUP(A296,[1]Buscador!$B:$F,5,0)</f>
        <v>Guayas</v>
      </c>
      <c r="P296" t="s">
        <v>31</v>
      </c>
      <c r="S296" t="s">
        <v>32</v>
      </c>
      <c r="T296" t="s">
        <v>33</v>
      </c>
      <c r="U296" t="s">
        <v>1371</v>
      </c>
      <c r="V296" t="s">
        <v>153</v>
      </c>
      <c r="X296" t="s">
        <v>1633</v>
      </c>
      <c r="Z296" t="s">
        <v>1933</v>
      </c>
      <c r="AA296">
        <v>-2.2105501598944999</v>
      </c>
      <c r="AB296">
        <v>-79.437369056319</v>
      </c>
      <c r="AC296">
        <v>0</v>
      </c>
      <c r="AD296">
        <f>+VLOOKUP(L296,Evalua!$G$2:$H$12,2,0)</f>
        <v>1</v>
      </c>
      <c r="AE296">
        <f>+VLOOKUP(M296,Evalua!$G$2:$H$12,2,0)</f>
        <v>2</v>
      </c>
    </row>
    <row r="297" spans="1:31" hidden="1" x14ac:dyDescent="0.2">
      <c r="A297" s="1" t="s">
        <v>1585</v>
      </c>
      <c r="B297" t="s">
        <v>1586</v>
      </c>
      <c r="D297" t="s">
        <v>1994</v>
      </c>
      <c r="E297" t="s">
        <v>1997</v>
      </c>
      <c r="G297" t="s">
        <v>1587</v>
      </c>
      <c r="H297" t="s">
        <v>153</v>
      </c>
      <c r="I297" t="s">
        <v>26</v>
      </c>
      <c r="J297" t="s">
        <v>2</v>
      </c>
      <c r="K297" t="s">
        <v>206</v>
      </c>
      <c r="L297" t="s">
        <v>1392</v>
      </c>
      <c r="M297" t="s">
        <v>234</v>
      </c>
      <c r="N297" t="str">
        <f>+VLOOKUP(A297,[1]Buscador!$B:$E,4,0)</f>
        <v>Machala</v>
      </c>
      <c r="O297" t="str">
        <f>+VLOOKUP(A297,[1]Buscador!$B:$F,5,0)</f>
        <v>El Oro</v>
      </c>
      <c r="P297" t="s">
        <v>31</v>
      </c>
      <c r="S297" t="s">
        <v>1581</v>
      </c>
      <c r="T297" t="s">
        <v>730</v>
      </c>
      <c r="U297" t="s">
        <v>1345</v>
      </c>
      <c r="V297" t="s">
        <v>153</v>
      </c>
      <c r="X297" t="s">
        <v>1588</v>
      </c>
      <c r="Z297" t="s">
        <v>1928</v>
      </c>
      <c r="AA297">
        <v>-3.2603292549264</v>
      </c>
      <c r="AB297">
        <v>-79.959522265011998</v>
      </c>
      <c r="AC297">
        <v>0</v>
      </c>
      <c r="AD297">
        <f>+VLOOKUP(L297,Evalua!$G$2:$H$12,2,0)</f>
        <v>2</v>
      </c>
      <c r="AE297">
        <f>+VLOOKUP(M297,Evalua!$G$2:$H$12,2,0)</f>
        <v>3</v>
      </c>
    </row>
    <row r="298" spans="1:31" hidden="1" x14ac:dyDescent="0.2">
      <c r="A298" s="1" t="s">
        <v>836</v>
      </c>
      <c r="B298" t="s">
        <v>782</v>
      </c>
      <c r="D298" t="s">
        <v>1996</v>
      </c>
      <c r="G298" t="s">
        <v>98</v>
      </c>
      <c r="H298" t="s">
        <v>153</v>
      </c>
      <c r="I298" t="s">
        <v>26</v>
      </c>
      <c r="J298" t="s">
        <v>99</v>
      </c>
      <c r="K298" t="s">
        <v>27</v>
      </c>
      <c r="L298" t="s">
        <v>81</v>
      </c>
      <c r="M298" t="s">
        <v>29</v>
      </c>
      <c r="N298" t="str">
        <f>+VLOOKUP(A298,[1]Buscador!$B:$E,4,0)</f>
        <v>Quito</v>
      </c>
      <c r="O298" t="str">
        <f>+VLOOKUP(A298,[1]Buscador!$B:$F,5,0)</f>
        <v>Pichincha</v>
      </c>
      <c r="P298" t="s">
        <v>31</v>
      </c>
      <c r="S298" t="s">
        <v>82</v>
      </c>
      <c r="T298" t="s">
        <v>83</v>
      </c>
      <c r="U298" t="s">
        <v>782</v>
      </c>
      <c r="V298" t="s">
        <v>153</v>
      </c>
      <c r="W298" t="s">
        <v>837</v>
      </c>
      <c r="X298" t="s">
        <v>838</v>
      </c>
      <c r="Y298" t="s">
        <v>839</v>
      </c>
      <c r="Z298" t="s">
        <v>840</v>
      </c>
      <c r="AA298">
        <v>-0.19645649879999999</v>
      </c>
      <c r="AB298">
        <v>-78.499465020800002</v>
      </c>
      <c r="AC298">
        <v>0</v>
      </c>
      <c r="AD298">
        <f>+VLOOKUP(L298,Evalua!$G$2:$H$12,2,0)</f>
        <v>3</v>
      </c>
      <c r="AE298">
        <f>+VLOOKUP(M298,Evalua!$G$2:$H$12,2,0)</f>
        <v>2</v>
      </c>
    </row>
    <row r="299" spans="1:31" hidden="1" x14ac:dyDescent="0.2">
      <c r="A299" s="1" t="s">
        <v>1745</v>
      </c>
      <c r="B299" t="s">
        <v>1746</v>
      </c>
      <c r="G299" t="s">
        <v>1747</v>
      </c>
      <c r="H299" t="s">
        <v>153</v>
      </c>
      <c r="I299" t="s">
        <v>26</v>
      </c>
      <c r="J299" t="s">
        <v>2</v>
      </c>
      <c r="K299" t="s">
        <v>27</v>
      </c>
      <c r="L299" t="s">
        <v>28</v>
      </c>
      <c r="M299" t="s">
        <v>29</v>
      </c>
      <c r="N299" t="str">
        <f>+VLOOKUP(A299,[1]Buscador!$B:$E,4,0)</f>
        <v>Quito</v>
      </c>
      <c r="O299" t="str">
        <f>+VLOOKUP(A299,[1]Buscador!$B:$F,5,0)</f>
        <v>Pichincha</v>
      </c>
      <c r="P299" t="s">
        <v>31</v>
      </c>
      <c r="S299" t="s">
        <v>32</v>
      </c>
      <c r="T299" t="s">
        <v>33</v>
      </c>
      <c r="U299" t="s">
        <v>1465</v>
      </c>
      <c r="V299" t="s">
        <v>153</v>
      </c>
      <c r="X299" t="s">
        <v>1748</v>
      </c>
      <c r="Z299" t="s">
        <v>1950</v>
      </c>
      <c r="AA299">
        <v>-0.25220533226148001</v>
      </c>
      <c r="AB299">
        <v>-78.523039906746007</v>
      </c>
      <c r="AC299">
        <v>0</v>
      </c>
      <c r="AD299">
        <f>+VLOOKUP(L299,Evalua!$G$2:$H$12,2,0)</f>
        <v>1</v>
      </c>
      <c r="AE299">
        <f>+VLOOKUP(M299,Evalua!$G$2:$H$12,2,0)</f>
        <v>2</v>
      </c>
    </row>
    <row r="300" spans="1:31" hidden="1" x14ac:dyDescent="0.2">
      <c r="A300" s="1" t="s">
        <v>1237</v>
      </c>
      <c r="B300" t="s">
        <v>1238</v>
      </c>
      <c r="D300" t="s">
        <v>1994</v>
      </c>
      <c r="E300" t="s">
        <v>1998</v>
      </c>
      <c r="G300" t="s">
        <v>1239</v>
      </c>
      <c r="H300" t="s">
        <v>153</v>
      </c>
      <c r="I300" t="s">
        <v>26</v>
      </c>
      <c r="J300" t="s">
        <v>2</v>
      </c>
      <c r="K300" t="s">
        <v>183</v>
      </c>
      <c r="L300" t="s">
        <v>81</v>
      </c>
      <c r="M300" t="s">
        <v>160</v>
      </c>
      <c r="N300" t="str">
        <f>+VLOOKUP(A300,[1]Buscador!$B:$E,4,0)</f>
        <v>Babahoyo</v>
      </c>
      <c r="O300" t="str">
        <f>+VLOOKUP(A300,[1]Buscador!$B:$F,5,0)</f>
        <v>Los Ríos</v>
      </c>
      <c r="P300" t="s">
        <v>31</v>
      </c>
      <c r="S300" t="s">
        <v>208</v>
      </c>
      <c r="T300" t="s">
        <v>126</v>
      </c>
      <c r="U300" t="s">
        <v>271</v>
      </c>
      <c r="V300" t="s">
        <v>153</v>
      </c>
      <c r="W300" t="s">
        <v>1240</v>
      </c>
      <c r="X300" t="s">
        <v>1241</v>
      </c>
      <c r="Y300" t="s">
        <v>1242</v>
      </c>
      <c r="Z300" t="s">
        <v>1243</v>
      </c>
      <c r="AA300">
        <v>-1.8004036333</v>
      </c>
      <c r="AB300">
        <v>-79.535966546699996</v>
      </c>
      <c r="AC300">
        <v>0</v>
      </c>
      <c r="AD300">
        <f>+VLOOKUP(L300,Evalua!$G$2:$H$12,2,0)</f>
        <v>3</v>
      </c>
      <c r="AE300">
        <f>+VLOOKUP(M300,Evalua!$G$2:$H$12,2,0)</f>
        <v>1</v>
      </c>
    </row>
    <row r="301" spans="1:31" hidden="1" x14ac:dyDescent="0.2">
      <c r="A301" s="1" t="s">
        <v>276</v>
      </c>
      <c r="B301" t="s">
        <v>219</v>
      </c>
      <c r="E301" s="3" t="s">
        <v>1998</v>
      </c>
      <c r="G301" t="s">
        <v>98</v>
      </c>
      <c r="H301" t="s">
        <v>153</v>
      </c>
      <c r="I301" t="s">
        <v>26</v>
      </c>
      <c r="J301" t="s">
        <v>99</v>
      </c>
      <c r="K301" t="s">
        <v>46</v>
      </c>
      <c r="L301" t="s">
        <v>28</v>
      </c>
      <c r="M301" t="s">
        <v>29</v>
      </c>
      <c r="N301" t="str">
        <f>+VLOOKUP(A301,[1]Buscador!$B:$E,4,0)</f>
        <v>Guayaquil</v>
      </c>
      <c r="O301" t="str">
        <f>+VLOOKUP(A301,[1]Buscador!$B:$F,5,0)</f>
        <v>Guayas</v>
      </c>
      <c r="P301" t="s">
        <v>31</v>
      </c>
      <c r="S301" t="s">
        <v>32</v>
      </c>
      <c r="T301" t="s">
        <v>33</v>
      </c>
      <c r="U301" t="s">
        <v>219</v>
      </c>
      <c r="V301" t="s">
        <v>153</v>
      </c>
      <c r="W301" t="s">
        <v>277</v>
      </c>
      <c r="X301" t="s">
        <v>278</v>
      </c>
      <c r="Y301" t="s">
        <v>279</v>
      </c>
      <c r="Z301" t="s">
        <v>280</v>
      </c>
      <c r="AA301">
        <v>-2.1391045728</v>
      </c>
      <c r="AB301">
        <v>-79.908231034400004</v>
      </c>
      <c r="AC301">
        <v>0</v>
      </c>
      <c r="AD301">
        <f>+VLOOKUP(L301,Evalua!$G$2:$H$12,2,0)</f>
        <v>1</v>
      </c>
      <c r="AE301">
        <f>+VLOOKUP(M301,Evalua!$G$2:$H$12,2,0)</f>
        <v>2</v>
      </c>
    </row>
    <row r="302" spans="1:31" hidden="1" x14ac:dyDescent="0.2">
      <c r="A302" s="1" t="s">
        <v>1739</v>
      </c>
      <c r="B302" t="s">
        <v>1740</v>
      </c>
      <c r="G302" t="s">
        <v>1741</v>
      </c>
      <c r="H302" t="s">
        <v>153</v>
      </c>
      <c r="I302" t="s">
        <v>26</v>
      </c>
      <c r="J302" t="s">
        <v>2</v>
      </c>
      <c r="K302" t="s">
        <v>27</v>
      </c>
      <c r="L302" t="s">
        <v>28</v>
      </c>
      <c r="M302" t="s">
        <v>29</v>
      </c>
      <c r="N302" t="str">
        <f>+VLOOKUP(A302,[1]Buscador!$B:$E,4,0)</f>
        <v>Quito</v>
      </c>
      <c r="O302" t="str">
        <f>+VLOOKUP(A302,[1]Buscador!$B:$F,5,0)</f>
        <v>Pichincha</v>
      </c>
      <c r="P302" t="s">
        <v>31</v>
      </c>
      <c r="S302" t="s">
        <v>32</v>
      </c>
      <c r="T302" t="s">
        <v>33</v>
      </c>
      <c r="U302" t="s">
        <v>1459</v>
      </c>
      <c r="V302" t="s">
        <v>153</v>
      </c>
      <c r="X302" t="s">
        <v>1742</v>
      </c>
      <c r="Z302" t="s">
        <v>1949</v>
      </c>
      <c r="AA302">
        <v>-0.19758899999999999</v>
      </c>
      <c r="AB302">
        <v>-78.489525999999998</v>
      </c>
      <c r="AC302">
        <v>0</v>
      </c>
      <c r="AD302">
        <f>+VLOOKUP(L302,Evalua!$G$2:$H$12,2,0)</f>
        <v>1</v>
      </c>
      <c r="AE302">
        <f>+VLOOKUP(M302,Evalua!$G$2:$H$12,2,0)</f>
        <v>2</v>
      </c>
    </row>
    <row r="303" spans="1:31" hidden="1" x14ac:dyDescent="0.2">
      <c r="A303" s="1" t="s">
        <v>881</v>
      </c>
      <c r="B303" t="s">
        <v>827</v>
      </c>
      <c r="E303" s="3" t="s">
        <v>1997</v>
      </c>
      <c r="G303" t="s">
        <v>98</v>
      </c>
      <c r="H303" t="s">
        <v>153</v>
      </c>
      <c r="I303" t="s">
        <v>26</v>
      </c>
      <c r="J303" t="s">
        <v>99</v>
      </c>
      <c r="K303" t="s">
        <v>46</v>
      </c>
      <c r="L303" t="s">
        <v>28</v>
      </c>
      <c r="M303" t="s">
        <v>29</v>
      </c>
      <c r="N303" t="str">
        <f>+VLOOKUP(A303,[1]Buscador!$B:$E,4,0)</f>
        <v>Guayaquil</v>
      </c>
      <c r="O303" t="str">
        <f>+VLOOKUP(A303,[1]Buscador!$B:$F,5,0)</f>
        <v>Guayas</v>
      </c>
      <c r="P303" t="s">
        <v>31</v>
      </c>
      <c r="S303" t="s">
        <v>32</v>
      </c>
      <c r="T303" t="s">
        <v>33</v>
      </c>
      <c r="U303" t="s">
        <v>827</v>
      </c>
      <c r="V303" t="s">
        <v>153</v>
      </c>
      <c r="W303" t="s">
        <v>882</v>
      </c>
      <c r="X303" t="s">
        <v>883</v>
      </c>
      <c r="Y303" t="s">
        <v>884</v>
      </c>
      <c r="Z303" t="s">
        <v>885</v>
      </c>
      <c r="AA303">
        <v>-2.1677226815999999</v>
      </c>
      <c r="AB303">
        <v>-79.895933854000006</v>
      </c>
      <c r="AC303">
        <v>0</v>
      </c>
      <c r="AD303">
        <f>+VLOOKUP(L303,Evalua!$G$2:$H$12,2,0)</f>
        <v>1</v>
      </c>
      <c r="AE303">
        <f>+VLOOKUP(M303,Evalua!$G$2:$H$12,2,0)</f>
        <v>2</v>
      </c>
    </row>
    <row r="304" spans="1:31" hidden="1" x14ac:dyDescent="0.2">
      <c r="A304" s="1" t="s">
        <v>826</v>
      </c>
      <c r="B304" t="s">
        <v>772</v>
      </c>
      <c r="E304" s="3" t="s">
        <v>1997</v>
      </c>
      <c r="G304" t="s">
        <v>98</v>
      </c>
      <c r="H304" t="s">
        <v>153</v>
      </c>
      <c r="I304" t="s">
        <v>26</v>
      </c>
      <c r="J304" t="s">
        <v>99</v>
      </c>
      <c r="K304" t="s">
        <v>46</v>
      </c>
      <c r="L304" t="s">
        <v>28</v>
      </c>
      <c r="M304" t="s">
        <v>29</v>
      </c>
      <c r="N304" t="str">
        <f>+VLOOKUP(A304,[1]Buscador!$B:$E,4,0)</f>
        <v>Guayaquil</v>
      </c>
      <c r="O304" t="str">
        <f>+VLOOKUP(A304,[1]Buscador!$B:$F,5,0)</f>
        <v>Guayas</v>
      </c>
      <c r="P304" t="s">
        <v>31</v>
      </c>
      <c r="S304" t="s">
        <v>32</v>
      </c>
      <c r="T304" t="s">
        <v>33</v>
      </c>
      <c r="U304" t="s">
        <v>772</v>
      </c>
      <c r="V304" t="s">
        <v>153</v>
      </c>
      <c r="W304" t="s">
        <v>827</v>
      </c>
      <c r="X304" t="s">
        <v>828</v>
      </c>
      <c r="Y304" t="s">
        <v>829</v>
      </c>
      <c r="Z304" t="s">
        <v>830</v>
      </c>
      <c r="AA304">
        <v>-2.1714600000000002</v>
      </c>
      <c r="AB304">
        <v>-79.890153999999995</v>
      </c>
      <c r="AC304">
        <v>0</v>
      </c>
      <c r="AD304">
        <f>+VLOOKUP(L304,Evalua!$G$2:$H$12,2,0)</f>
        <v>1</v>
      </c>
      <c r="AE304">
        <f>+VLOOKUP(M304,Evalua!$G$2:$H$12,2,0)</f>
        <v>2</v>
      </c>
    </row>
    <row r="305" spans="1:31" hidden="1" x14ac:dyDescent="0.2">
      <c r="A305" s="1" t="s">
        <v>324</v>
      </c>
      <c r="B305" t="s">
        <v>266</v>
      </c>
      <c r="D305" t="s">
        <v>1996</v>
      </c>
      <c r="E305" t="s">
        <v>2006</v>
      </c>
      <c r="G305" t="s">
        <v>98</v>
      </c>
      <c r="H305" t="s">
        <v>153</v>
      </c>
      <c r="I305" t="s">
        <v>26</v>
      </c>
      <c r="J305" t="s">
        <v>99</v>
      </c>
      <c r="K305" t="s">
        <v>46</v>
      </c>
      <c r="L305" t="s">
        <v>28</v>
      </c>
      <c r="M305" t="s">
        <v>29</v>
      </c>
      <c r="N305" t="str">
        <f>+VLOOKUP(A305,[1]Buscador!$B:$E,4,0)</f>
        <v>Guayaquil</v>
      </c>
      <c r="O305" t="str">
        <f>+VLOOKUP(A305,[1]Buscador!$B:$F,5,0)</f>
        <v>Guayas</v>
      </c>
      <c r="P305" t="s">
        <v>31</v>
      </c>
      <c r="S305" t="s">
        <v>32</v>
      </c>
      <c r="T305" t="s">
        <v>33</v>
      </c>
      <c r="U305" t="s">
        <v>266</v>
      </c>
      <c r="V305" t="s">
        <v>153</v>
      </c>
      <c r="W305" t="s">
        <v>325</v>
      </c>
      <c r="X305" t="s">
        <v>326</v>
      </c>
      <c r="Y305" t="s">
        <v>327</v>
      </c>
      <c r="Z305" t="s">
        <v>328</v>
      </c>
      <c r="AA305">
        <v>-2.241638</v>
      </c>
      <c r="AB305">
        <v>-79.894834000000003</v>
      </c>
      <c r="AC305">
        <v>0</v>
      </c>
      <c r="AD305">
        <f>+VLOOKUP(L305,Evalua!$G$2:$H$12,2,0)</f>
        <v>1</v>
      </c>
      <c r="AE305">
        <f>+VLOOKUP(M305,Evalua!$G$2:$H$12,2,0)</f>
        <v>2</v>
      </c>
    </row>
    <row r="306" spans="1:31" hidden="1" x14ac:dyDescent="0.2">
      <c r="A306" s="1" t="s">
        <v>781</v>
      </c>
      <c r="B306" t="s">
        <v>724</v>
      </c>
      <c r="E306" s="3" t="s">
        <v>1997</v>
      </c>
      <c r="G306" t="s">
        <v>98</v>
      </c>
      <c r="H306" t="s">
        <v>153</v>
      </c>
      <c r="I306" t="s">
        <v>26</v>
      </c>
      <c r="J306" t="s">
        <v>99</v>
      </c>
      <c r="K306" t="s">
        <v>46</v>
      </c>
      <c r="L306" t="s">
        <v>28</v>
      </c>
      <c r="M306" t="s">
        <v>29</v>
      </c>
      <c r="N306" t="str">
        <f>+VLOOKUP(A306,[1]Buscador!$B:$E,4,0)</f>
        <v>Guayaquil</v>
      </c>
      <c r="O306" t="str">
        <f>+VLOOKUP(A306,[1]Buscador!$B:$F,5,0)</f>
        <v>Guayas</v>
      </c>
      <c r="P306" t="s">
        <v>31</v>
      </c>
      <c r="S306" t="s">
        <v>32</v>
      </c>
      <c r="T306" t="s">
        <v>33</v>
      </c>
      <c r="U306" t="s">
        <v>724</v>
      </c>
      <c r="V306" t="s">
        <v>153</v>
      </c>
      <c r="W306" t="s">
        <v>782</v>
      </c>
      <c r="X306" t="s">
        <v>783</v>
      </c>
      <c r="Y306" t="s">
        <v>784</v>
      </c>
      <c r="Z306" t="s">
        <v>785</v>
      </c>
      <c r="AA306">
        <v>-2.1863030000000001</v>
      </c>
      <c r="AB306">
        <v>-79.896037000000007</v>
      </c>
      <c r="AC306">
        <v>0</v>
      </c>
      <c r="AD306">
        <f>+VLOOKUP(L306,Evalua!$G$2:$H$12,2,0)</f>
        <v>1</v>
      </c>
      <c r="AE306">
        <f>+VLOOKUP(M306,Evalua!$G$2:$H$12,2,0)</f>
        <v>2</v>
      </c>
    </row>
    <row r="307" spans="1:31" hidden="1" x14ac:dyDescent="0.2">
      <c r="A307" s="1" t="s">
        <v>1794</v>
      </c>
      <c r="B307" t="s">
        <v>1795</v>
      </c>
      <c r="D307" t="s">
        <v>1990</v>
      </c>
      <c r="E307" t="s">
        <v>2001</v>
      </c>
      <c r="G307" t="s">
        <v>1792</v>
      </c>
      <c r="H307" t="s">
        <v>153</v>
      </c>
      <c r="I307" t="s">
        <v>26</v>
      </c>
      <c r="J307" t="s">
        <v>2</v>
      </c>
      <c r="K307" t="s">
        <v>46</v>
      </c>
      <c r="L307" t="s">
        <v>28</v>
      </c>
      <c r="M307" t="s">
        <v>29</v>
      </c>
      <c r="N307" t="str">
        <f>+VLOOKUP(A307,[1]Buscador!$B:$E,4,0)</f>
        <v>Guayaquil</v>
      </c>
      <c r="O307" t="str">
        <f>+VLOOKUP(A307,[1]Buscador!$B:$F,5,0)</f>
        <v>Guayas</v>
      </c>
      <c r="P307" t="s">
        <v>31</v>
      </c>
      <c r="S307" t="s">
        <v>32</v>
      </c>
      <c r="T307" t="s">
        <v>33</v>
      </c>
      <c r="U307" t="s">
        <v>1502</v>
      </c>
      <c r="V307" t="s">
        <v>153</v>
      </c>
      <c r="X307" t="s">
        <v>1796</v>
      </c>
      <c r="Z307" t="s">
        <v>1957</v>
      </c>
      <c r="AA307">
        <v>-2.1775527356936002</v>
      </c>
      <c r="AB307">
        <v>-79.942488674591004</v>
      </c>
      <c r="AC307">
        <v>0</v>
      </c>
      <c r="AD307">
        <f>+VLOOKUP(L307,Evalua!$G$2:$H$12,2,0)</f>
        <v>1</v>
      </c>
      <c r="AE307">
        <f>+VLOOKUP(M307,Evalua!$G$2:$H$12,2,0)</f>
        <v>2</v>
      </c>
    </row>
    <row r="308" spans="1:31" hidden="1" x14ac:dyDescent="0.2">
      <c r="A308" s="1" t="s">
        <v>1291</v>
      </c>
      <c r="B308" t="s">
        <v>1292</v>
      </c>
      <c r="D308" t="s">
        <v>2002</v>
      </c>
      <c r="E308" t="s">
        <v>1997</v>
      </c>
      <c r="G308" t="s">
        <v>1293</v>
      </c>
      <c r="H308" t="s">
        <v>153</v>
      </c>
      <c r="I308" t="s">
        <v>26</v>
      </c>
      <c r="J308" t="s">
        <v>2</v>
      </c>
      <c r="K308" t="s">
        <v>46</v>
      </c>
      <c r="L308" t="s">
        <v>28</v>
      </c>
      <c r="M308" t="s">
        <v>29</v>
      </c>
      <c r="N308" t="str">
        <f>+VLOOKUP(A308,[1]Buscador!$B:$E,4,0)</f>
        <v>Guayaquil</v>
      </c>
      <c r="O308" t="str">
        <f>+VLOOKUP(A308,[1]Buscador!$B:$F,5,0)</f>
        <v>Guayas</v>
      </c>
      <c r="P308" t="s">
        <v>153</v>
      </c>
      <c r="S308" t="s">
        <v>32</v>
      </c>
      <c r="T308" t="s">
        <v>33</v>
      </c>
      <c r="U308" t="s">
        <v>1203</v>
      </c>
      <c r="V308" t="s">
        <v>153</v>
      </c>
      <c r="W308" t="s">
        <v>1294</v>
      </c>
      <c r="X308" t="s">
        <v>1295</v>
      </c>
      <c r="Y308" t="s">
        <v>1296</v>
      </c>
      <c r="Z308" t="s">
        <v>1297</v>
      </c>
      <c r="AA308">
        <v>-2.2151156801999998</v>
      </c>
      <c r="AB308">
        <v>-79.889049472400004</v>
      </c>
      <c r="AC308">
        <v>0</v>
      </c>
      <c r="AD308">
        <f>+VLOOKUP(L308,Evalua!$G$2:$H$12,2,0)</f>
        <v>1</v>
      </c>
      <c r="AE308">
        <f>+VLOOKUP(M308,Evalua!$G$2:$H$12,2,0)</f>
        <v>2</v>
      </c>
    </row>
    <row r="309" spans="1:31" hidden="1" x14ac:dyDescent="0.2">
      <c r="A309" s="1" t="s">
        <v>947</v>
      </c>
      <c r="B309" t="s">
        <v>893</v>
      </c>
      <c r="E309" s="3" t="s">
        <v>1997</v>
      </c>
      <c r="G309" t="s">
        <v>98</v>
      </c>
      <c r="H309" t="s">
        <v>153</v>
      </c>
      <c r="I309" t="s">
        <v>26</v>
      </c>
      <c r="J309" t="s">
        <v>99</v>
      </c>
      <c r="K309" t="s">
        <v>46</v>
      </c>
      <c r="L309" t="s">
        <v>28</v>
      </c>
      <c r="M309" t="s">
        <v>29</v>
      </c>
      <c r="N309" t="str">
        <f>+VLOOKUP(A309,[1]Buscador!$B:$E,4,0)</f>
        <v>Guayaquil</v>
      </c>
      <c r="O309" t="str">
        <f>+VLOOKUP(A309,[1]Buscador!$B:$F,5,0)</f>
        <v>Guayas</v>
      </c>
      <c r="P309" t="s">
        <v>31</v>
      </c>
      <c r="S309" t="s">
        <v>32</v>
      </c>
      <c r="T309" t="s">
        <v>33</v>
      </c>
      <c r="U309" t="s">
        <v>893</v>
      </c>
      <c r="V309" t="s">
        <v>153</v>
      </c>
      <c r="W309" t="s">
        <v>948</v>
      </c>
      <c r="X309" t="s">
        <v>949</v>
      </c>
      <c r="Y309" t="s">
        <v>950</v>
      </c>
      <c r="Z309" t="s">
        <v>951</v>
      </c>
      <c r="AA309">
        <v>-2.1849135624999998</v>
      </c>
      <c r="AB309">
        <v>-79.881834699400002</v>
      </c>
      <c r="AC309">
        <v>0</v>
      </c>
      <c r="AD309">
        <f>+VLOOKUP(L309,Evalua!$G$2:$H$12,2,0)</f>
        <v>1</v>
      </c>
      <c r="AE309">
        <f>+VLOOKUP(M309,Evalua!$G$2:$H$12,2,0)</f>
        <v>2</v>
      </c>
    </row>
    <row r="310" spans="1:31" hidden="1" x14ac:dyDescent="0.2">
      <c r="A310" s="1" t="s">
        <v>562</v>
      </c>
      <c r="B310" t="s">
        <v>508</v>
      </c>
      <c r="E310" s="3" t="s">
        <v>1997</v>
      </c>
      <c r="G310" t="s">
        <v>98</v>
      </c>
      <c r="H310" t="s">
        <v>153</v>
      </c>
      <c r="I310" t="s">
        <v>26</v>
      </c>
      <c r="J310" t="s">
        <v>99</v>
      </c>
      <c r="K310" t="s">
        <v>46</v>
      </c>
      <c r="L310" t="s">
        <v>28</v>
      </c>
      <c r="M310" t="s">
        <v>29</v>
      </c>
      <c r="N310" t="str">
        <f>+VLOOKUP(A310,[1]Buscador!$B:$E,4,0)</f>
        <v>Guayaquil</v>
      </c>
      <c r="O310" t="str">
        <f>+VLOOKUP(A310,[1]Buscador!$B:$F,5,0)</f>
        <v>Guayas</v>
      </c>
      <c r="P310" t="s">
        <v>31</v>
      </c>
      <c r="S310" t="s">
        <v>32</v>
      </c>
      <c r="T310" t="s">
        <v>33</v>
      </c>
      <c r="U310" t="s">
        <v>508</v>
      </c>
      <c r="V310" t="s">
        <v>153</v>
      </c>
      <c r="W310" t="s">
        <v>563</v>
      </c>
      <c r="X310" t="s">
        <v>564</v>
      </c>
      <c r="Y310" t="s">
        <v>565</v>
      </c>
      <c r="Z310" t="s">
        <v>566</v>
      </c>
      <c r="AA310">
        <v>-2.1739389999999998</v>
      </c>
      <c r="AB310">
        <v>-79.879981000000001</v>
      </c>
      <c r="AC310">
        <v>0</v>
      </c>
      <c r="AD310">
        <f>+VLOOKUP(L310,Evalua!$G$2:$H$12,2,0)</f>
        <v>1</v>
      </c>
      <c r="AE310">
        <f>+VLOOKUP(M310,Evalua!$G$2:$H$12,2,0)</f>
        <v>2</v>
      </c>
    </row>
    <row r="311" spans="1:31" hidden="1" x14ac:dyDescent="0.2">
      <c r="A311" s="1" t="s">
        <v>1152</v>
      </c>
      <c r="B311" t="s">
        <v>1097</v>
      </c>
      <c r="G311" t="s">
        <v>98</v>
      </c>
      <c r="H311" t="s">
        <v>153</v>
      </c>
      <c r="I311" t="s">
        <v>26</v>
      </c>
      <c r="J311" t="s">
        <v>99</v>
      </c>
      <c r="K311" t="s">
        <v>27</v>
      </c>
      <c r="L311" t="s">
        <v>28</v>
      </c>
      <c r="M311" t="s">
        <v>29</v>
      </c>
      <c r="N311" t="str">
        <f>+VLOOKUP(A311,[1]Buscador!$B:$E,4,0)</f>
        <v>Quito</v>
      </c>
      <c r="O311" t="str">
        <f>+VLOOKUP(A311,[1]Buscador!$B:$F,5,0)</f>
        <v>Pichincha</v>
      </c>
      <c r="P311" t="s">
        <v>31</v>
      </c>
      <c r="S311" t="s">
        <v>32</v>
      </c>
      <c r="T311" t="s">
        <v>33</v>
      </c>
      <c r="U311" t="s">
        <v>1097</v>
      </c>
      <c r="V311" t="s">
        <v>153</v>
      </c>
      <c r="W311" t="s">
        <v>1153</v>
      </c>
      <c r="X311" t="s">
        <v>1154</v>
      </c>
      <c r="Y311" t="s">
        <v>1155</v>
      </c>
      <c r="Z311" t="s">
        <v>1156</v>
      </c>
      <c r="AA311">
        <v>-0.26793510549999999</v>
      </c>
      <c r="AB311">
        <v>-78.538132240400003</v>
      </c>
      <c r="AC311">
        <v>0</v>
      </c>
      <c r="AD311">
        <f>+VLOOKUP(L311,Evalua!$G$2:$H$12,2,0)</f>
        <v>1</v>
      </c>
      <c r="AE311">
        <f>+VLOOKUP(M311,Evalua!$G$2:$H$12,2,0)</f>
        <v>2</v>
      </c>
    </row>
    <row r="312" spans="1:31" hidden="1" x14ac:dyDescent="0.2">
      <c r="A312" s="1" t="s">
        <v>1603</v>
      </c>
      <c r="B312" t="s">
        <v>1604</v>
      </c>
      <c r="D312" t="s">
        <v>2002</v>
      </c>
      <c r="E312" t="s">
        <v>2006</v>
      </c>
      <c r="G312" t="s">
        <v>1605</v>
      </c>
      <c r="H312" t="s">
        <v>153</v>
      </c>
      <c r="I312" t="s">
        <v>26</v>
      </c>
      <c r="J312" t="s">
        <v>2</v>
      </c>
      <c r="K312" t="s">
        <v>46</v>
      </c>
      <c r="L312" t="s">
        <v>28</v>
      </c>
      <c r="M312" t="s">
        <v>29</v>
      </c>
      <c r="N312" t="str">
        <f>+VLOOKUP(A312,[1]Buscador!$B:$E,4,0)</f>
        <v>Guayaquil</v>
      </c>
      <c r="O312" t="str">
        <f>+VLOOKUP(A312,[1]Buscador!$B:$F,5,0)</f>
        <v>Guayas</v>
      </c>
      <c r="P312" t="s">
        <v>31</v>
      </c>
      <c r="S312" t="s">
        <v>32</v>
      </c>
      <c r="T312" t="s">
        <v>33</v>
      </c>
      <c r="U312" t="s">
        <v>1355</v>
      </c>
      <c r="V312" t="s">
        <v>153</v>
      </c>
      <c r="X312" t="s">
        <v>1606</v>
      </c>
      <c r="Z312" t="s">
        <v>1930</v>
      </c>
      <c r="AA312">
        <v>-2.2291479999999999</v>
      </c>
      <c r="AB312">
        <v>-79.898456999999993</v>
      </c>
      <c r="AC312">
        <v>0</v>
      </c>
      <c r="AD312">
        <f>+VLOOKUP(L312,Evalua!$G$2:$H$12,2,0)</f>
        <v>1</v>
      </c>
      <c r="AE312">
        <f>+VLOOKUP(M312,Evalua!$G$2:$H$12,2,0)</f>
        <v>2</v>
      </c>
    </row>
    <row r="313" spans="1:31" hidden="1" x14ac:dyDescent="0.2">
      <c r="A313" s="1" t="s">
        <v>1443</v>
      </c>
      <c r="B313" t="s">
        <v>1444</v>
      </c>
      <c r="D313" t="s">
        <v>2003</v>
      </c>
      <c r="E313" t="s">
        <v>2006</v>
      </c>
      <c r="G313" t="s">
        <v>80</v>
      </c>
      <c r="H313" t="s">
        <v>153</v>
      </c>
      <c r="I313" t="s">
        <v>26</v>
      </c>
      <c r="J313" t="s">
        <v>2</v>
      </c>
      <c r="K313" t="s">
        <v>46</v>
      </c>
      <c r="L313" t="s">
        <v>28</v>
      </c>
      <c r="M313" t="s">
        <v>29</v>
      </c>
      <c r="N313" t="str">
        <f>+VLOOKUP(A313,[1]Buscador!$B:$E,4,0)</f>
        <v>Guayaquil</v>
      </c>
      <c r="O313" t="str">
        <f>+VLOOKUP(A313,[1]Buscador!$B:$F,5,0)</f>
        <v>Guayas</v>
      </c>
      <c r="P313" t="s">
        <v>31</v>
      </c>
      <c r="S313" t="s">
        <v>32</v>
      </c>
      <c r="T313" t="s">
        <v>33</v>
      </c>
      <c r="U313" t="s">
        <v>1261</v>
      </c>
      <c r="V313" t="s">
        <v>153</v>
      </c>
      <c r="W313" t="s">
        <v>1445</v>
      </c>
      <c r="X313" t="s">
        <v>1446</v>
      </c>
      <c r="Y313" t="s">
        <v>1447</v>
      </c>
      <c r="Z313" t="s">
        <v>1448</v>
      </c>
      <c r="AA313">
        <v>-2.1276126974</v>
      </c>
      <c r="AB313">
        <v>-79.906743559500001</v>
      </c>
      <c r="AC313">
        <v>0</v>
      </c>
      <c r="AD313">
        <f>+VLOOKUP(L313,Evalua!$G$2:$H$12,2,0)</f>
        <v>1</v>
      </c>
      <c r="AE313">
        <f>+VLOOKUP(M313,Evalua!$G$2:$H$12,2,0)</f>
        <v>2</v>
      </c>
    </row>
    <row r="314" spans="1:31" hidden="1" x14ac:dyDescent="0.2">
      <c r="A314" s="1" t="s">
        <v>1535</v>
      </c>
      <c r="B314" t="s">
        <v>1536</v>
      </c>
      <c r="D314" t="s">
        <v>1995</v>
      </c>
      <c r="E314" t="s">
        <v>1997</v>
      </c>
      <c r="G314" t="s">
        <v>1537</v>
      </c>
      <c r="H314" t="s">
        <v>153</v>
      </c>
      <c r="I314" t="s">
        <v>26</v>
      </c>
      <c r="J314" t="s">
        <v>2</v>
      </c>
      <c r="K314" t="s">
        <v>46</v>
      </c>
      <c r="L314" t="s">
        <v>28</v>
      </c>
      <c r="M314" t="s">
        <v>29</v>
      </c>
      <c r="N314" t="str">
        <f>+VLOOKUP(A314,[1]Buscador!$B:$E,4,0)</f>
        <v>Guayaquil</v>
      </c>
      <c r="O314" t="str">
        <f>+VLOOKUP(A314,[1]Buscador!$B:$F,5,0)</f>
        <v>Guayas</v>
      </c>
      <c r="P314" t="s">
        <v>31</v>
      </c>
      <c r="S314" t="s">
        <v>32</v>
      </c>
      <c r="T314" t="s">
        <v>33</v>
      </c>
      <c r="U314" t="s">
        <v>1304</v>
      </c>
      <c r="V314" t="s">
        <v>153</v>
      </c>
      <c r="W314" t="s">
        <v>1538</v>
      </c>
      <c r="X314" t="s">
        <v>1539</v>
      </c>
      <c r="Y314" t="s">
        <v>1540</v>
      </c>
      <c r="Z314" t="s">
        <v>1541</v>
      </c>
      <c r="AA314">
        <v>-2.1711010000000002</v>
      </c>
      <c r="AB314">
        <v>-79.911039000000002</v>
      </c>
      <c r="AC314">
        <v>0</v>
      </c>
      <c r="AD314">
        <f>+VLOOKUP(L314,Evalua!$G$2:$H$12,2,0)</f>
        <v>1</v>
      </c>
      <c r="AE314">
        <f>+VLOOKUP(M314,Evalua!$G$2:$H$12,2,0)</f>
        <v>2</v>
      </c>
    </row>
    <row r="315" spans="1:31" hidden="1" x14ac:dyDescent="0.2">
      <c r="A315" s="1" t="s">
        <v>52</v>
      </c>
      <c r="B315" t="s">
        <v>40</v>
      </c>
      <c r="D315" t="s">
        <v>1990</v>
      </c>
      <c r="E315" t="s">
        <v>1997</v>
      </c>
      <c r="G315" t="s">
        <v>40</v>
      </c>
      <c r="H315" t="s">
        <v>153</v>
      </c>
      <c r="I315" t="s">
        <v>26</v>
      </c>
      <c r="J315" t="s">
        <v>39</v>
      </c>
      <c r="K315" t="s">
        <v>46</v>
      </c>
      <c r="L315" t="s">
        <v>28</v>
      </c>
      <c r="M315" t="s">
        <v>29</v>
      </c>
      <c r="N315" t="str">
        <f>+VLOOKUP(A315,[1]Buscador!$B:$E,4,0)</f>
        <v>Guayaquil</v>
      </c>
      <c r="O315" t="str">
        <f>+VLOOKUP(A315,[1]Buscador!$B:$F,5,0)</f>
        <v>Guayas</v>
      </c>
      <c r="P315" t="s">
        <v>31</v>
      </c>
      <c r="Q315">
        <v>50</v>
      </c>
      <c r="R315">
        <v>17</v>
      </c>
      <c r="S315" t="s">
        <v>32</v>
      </c>
      <c r="T315" t="s">
        <v>33</v>
      </c>
      <c r="U315" t="s">
        <v>40</v>
      </c>
      <c r="V315" t="s">
        <v>153</v>
      </c>
      <c r="W315" t="s">
        <v>53</v>
      </c>
      <c r="X315" t="s">
        <v>54</v>
      </c>
      <c r="Y315" t="s">
        <v>55</v>
      </c>
      <c r="Z315" t="s">
        <v>51</v>
      </c>
      <c r="AA315">
        <v>-2.1875789120000002</v>
      </c>
      <c r="AB315">
        <v>-79.895072277500006</v>
      </c>
      <c r="AC315">
        <v>0</v>
      </c>
      <c r="AD315">
        <f>+VLOOKUP(L315,Evalua!$G$2:$H$12,2,0)</f>
        <v>1</v>
      </c>
      <c r="AE315">
        <f>+VLOOKUP(M315,Evalua!$G$2:$H$12,2,0)</f>
        <v>2</v>
      </c>
    </row>
    <row r="316" spans="1:31" hidden="1" x14ac:dyDescent="0.2">
      <c r="A316" s="1" t="s">
        <v>115</v>
      </c>
      <c r="B316" t="s">
        <v>116</v>
      </c>
      <c r="D316" t="s">
        <v>1990</v>
      </c>
      <c r="E316" t="s">
        <v>1997</v>
      </c>
      <c r="G316" t="s">
        <v>116</v>
      </c>
      <c r="H316" t="s">
        <v>153</v>
      </c>
      <c r="I316" t="s">
        <v>26</v>
      </c>
      <c r="J316" t="s">
        <v>39</v>
      </c>
      <c r="K316" t="s">
        <v>46</v>
      </c>
      <c r="L316" t="s">
        <v>28</v>
      </c>
      <c r="M316" t="s">
        <v>29</v>
      </c>
      <c r="N316" t="str">
        <f>+VLOOKUP(A316,[1]Buscador!$B:$E,4,0)</f>
        <v>Guayaquil</v>
      </c>
      <c r="O316" t="str">
        <f>+VLOOKUP(A316,[1]Buscador!$B:$F,5,0)</f>
        <v>Guayas</v>
      </c>
      <c r="P316" t="s">
        <v>31</v>
      </c>
      <c r="Q316">
        <v>70</v>
      </c>
      <c r="R316">
        <v>8.2638888888888875</v>
      </c>
      <c r="S316" t="s">
        <v>32</v>
      </c>
      <c r="T316" t="s">
        <v>33</v>
      </c>
      <c r="U316" t="s">
        <v>70</v>
      </c>
      <c r="V316" t="s">
        <v>153</v>
      </c>
      <c r="W316" t="s">
        <v>117</v>
      </c>
      <c r="X316" t="s">
        <v>118</v>
      </c>
      <c r="Y316" t="s">
        <v>119</v>
      </c>
      <c r="Z316" t="s">
        <v>103</v>
      </c>
      <c r="AA316">
        <v>-2.1477533986999999</v>
      </c>
      <c r="AB316">
        <v>-79.8998586429</v>
      </c>
      <c r="AC316">
        <v>0</v>
      </c>
      <c r="AD316">
        <f>+VLOOKUP(L316,Evalua!$G$2:$H$12,2,0)</f>
        <v>1</v>
      </c>
      <c r="AE316">
        <f>+VLOOKUP(M316,Evalua!$G$2:$H$12,2,0)</f>
        <v>2</v>
      </c>
    </row>
    <row r="317" spans="1:31" hidden="1" x14ac:dyDescent="0.2">
      <c r="A317" s="1" t="s">
        <v>131</v>
      </c>
      <c r="B317" t="s">
        <v>124</v>
      </c>
      <c r="D317" t="s">
        <v>1994</v>
      </c>
      <c r="E317" t="s">
        <v>2018</v>
      </c>
      <c r="G317" t="s">
        <v>124</v>
      </c>
      <c r="H317" t="s">
        <v>153</v>
      </c>
      <c r="I317" t="s">
        <v>26</v>
      </c>
      <c r="J317" t="s">
        <v>39</v>
      </c>
      <c r="K317" t="s">
        <v>27</v>
      </c>
      <c r="L317" t="s">
        <v>123</v>
      </c>
      <c r="M317" t="s">
        <v>29</v>
      </c>
      <c r="N317" t="str">
        <f>+VLOOKUP(A317,[1]Buscador!$B:$E,4,0)</f>
        <v>Ambato</v>
      </c>
      <c r="O317" t="str">
        <f>+VLOOKUP(A317,[1]Buscador!$B:$F,5,0)</f>
        <v>Tungurahua</v>
      </c>
      <c r="P317" t="s">
        <v>31</v>
      </c>
      <c r="Q317">
        <v>15</v>
      </c>
      <c r="R317">
        <v>5.5434782608695654</v>
      </c>
      <c r="S317" t="s">
        <v>125</v>
      </c>
      <c r="T317" t="s">
        <v>126</v>
      </c>
      <c r="U317" t="s">
        <v>75</v>
      </c>
      <c r="V317" t="s">
        <v>153</v>
      </c>
      <c r="W317" t="s">
        <v>132</v>
      </c>
      <c r="X317" t="s">
        <v>133</v>
      </c>
      <c r="Y317" t="s">
        <v>134</v>
      </c>
      <c r="Z317" t="s">
        <v>130</v>
      </c>
      <c r="AA317">
        <v>-1.24134174</v>
      </c>
      <c r="AB317">
        <v>-78.628491327899994</v>
      </c>
      <c r="AC317">
        <v>0</v>
      </c>
      <c r="AD317">
        <f>+VLOOKUP(L317,Evalua!$G$2:$H$12,2,0)</f>
        <v>4</v>
      </c>
      <c r="AE317">
        <f>+VLOOKUP(M317,Evalua!$G$2:$H$12,2,0)</f>
        <v>2</v>
      </c>
    </row>
    <row r="318" spans="1:31" hidden="1" x14ac:dyDescent="0.2">
      <c r="A318" s="1" t="s">
        <v>1244</v>
      </c>
      <c r="B318" t="s">
        <v>271</v>
      </c>
      <c r="D318" t="s">
        <v>1994</v>
      </c>
      <c r="E318" t="s">
        <v>1998</v>
      </c>
      <c r="G318" t="s">
        <v>271</v>
      </c>
      <c r="H318" t="s">
        <v>153</v>
      </c>
      <c r="I318" t="s">
        <v>26</v>
      </c>
      <c r="J318" t="s">
        <v>39</v>
      </c>
      <c r="K318" t="s">
        <v>183</v>
      </c>
      <c r="L318" t="s">
        <v>81</v>
      </c>
      <c r="M318" t="s">
        <v>160</v>
      </c>
      <c r="N318" t="str">
        <f>+VLOOKUP(A318,[1]Buscador!$B:$E,4,0)</f>
        <v>Babahoyo</v>
      </c>
      <c r="O318" t="str">
        <f>+VLOOKUP(A318,[1]Buscador!$B:$F,5,0)</f>
        <v>Los Ríos</v>
      </c>
      <c r="P318" t="s">
        <v>31</v>
      </c>
      <c r="Q318">
        <v>30</v>
      </c>
      <c r="R318">
        <v>12.75</v>
      </c>
      <c r="S318" t="s">
        <v>208</v>
      </c>
      <c r="T318" t="s">
        <v>126</v>
      </c>
      <c r="U318" t="s">
        <v>271</v>
      </c>
      <c r="V318" t="s">
        <v>153</v>
      </c>
      <c r="W318" t="s">
        <v>1245</v>
      </c>
      <c r="X318" t="s">
        <v>1246</v>
      </c>
      <c r="Y318" t="s">
        <v>1247</v>
      </c>
      <c r="Z318" t="s">
        <v>1243</v>
      </c>
      <c r="AA318">
        <v>-1.8004036333</v>
      </c>
      <c r="AB318">
        <v>-79.535966546699996</v>
      </c>
      <c r="AC318">
        <v>0</v>
      </c>
      <c r="AD318">
        <f>+VLOOKUP(L318,Evalua!$G$2:$H$12,2,0)</f>
        <v>3</v>
      </c>
      <c r="AE318">
        <f>+VLOOKUP(M318,Evalua!$G$2:$H$12,2,0)</f>
        <v>1</v>
      </c>
    </row>
    <row r="319" spans="1:31" hidden="1" x14ac:dyDescent="0.2">
      <c r="A319" s="1" t="s">
        <v>1255</v>
      </c>
      <c r="B319" t="s">
        <v>1183</v>
      </c>
      <c r="D319" t="s">
        <v>1990</v>
      </c>
      <c r="E319" t="s">
        <v>2005</v>
      </c>
      <c r="G319" t="s">
        <v>1183</v>
      </c>
      <c r="H319" t="s">
        <v>153</v>
      </c>
      <c r="I319" t="s">
        <v>26</v>
      </c>
      <c r="J319" t="s">
        <v>39</v>
      </c>
      <c r="K319" t="s">
        <v>183</v>
      </c>
      <c r="L319" t="s">
        <v>28</v>
      </c>
      <c r="M319" t="s">
        <v>160</v>
      </c>
      <c r="N319" t="str">
        <f>+VLOOKUP(A319,[1]Buscador!$B:$E,4,0)</f>
        <v>San Jacinto de Buena Fe</v>
      </c>
      <c r="O319" t="str">
        <f>+VLOOKUP(A319,[1]Buscador!$B:$F,5,0)</f>
        <v>Los Ríos</v>
      </c>
      <c r="P319" t="s">
        <v>31</v>
      </c>
      <c r="Q319">
        <v>50</v>
      </c>
      <c r="R319">
        <v>17</v>
      </c>
      <c r="S319" t="s">
        <v>162</v>
      </c>
      <c r="T319" t="s">
        <v>83</v>
      </c>
      <c r="U319" t="s">
        <v>1183</v>
      </c>
      <c r="V319" t="s">
        <v>153</v>
      </c>
      <c r="W319" t="s">
        <v>1256</v>
      </c>
      <c r="X319" t="s">
        <v>1257</v>
      </c>
      <c r="Y319" t="s">
        <v>1258</v>
      </c>
      <c r="Z319" t="s">
        <v>1254</v>
      </c>
      <c r="AA319">
        <v>-0.89612508619999998</v>
      </c>
      <c r="AB319">
        <v>-79.490255461999993</v>
      </c>
      <c r="AC319">
        <v>0</v>
      </c>
      <c r="AD319">
        <f>+VLOOKUP(L319,Evalua!$G$2:$H$12,2,0)</f>
        <v>1</v>
      </c>
      <c r="AE319">
        <f>+VLOOKUP(M319,Evalua!$G$2:$H$12,2,0)</f>
        <v>1</v>
      </c>
    </row>
    <row r="320" spans="1:31" hidden="1" x14ac:dyDescent="0.2">
      <c r="A320" s="1" t="s">
        <v>1303</v>
      </c>
      <c r="B320" t="s">
        <v>1203</v>
      </c>
      <c r="D320" t="s">
        <v>2002</v>
      </c>
      <c r="E320" t="s">
        <v>1997</v>
      </c>
      <c r="G320" t="s">
        <v>1203</v>
      </c>
      <c r="H320" t="s">
        <v>153</v>
      </c>
      <c r="I320" t="s">
        <v>26</v>
      </c>
      <c r="J320" t="s">
        <v>39</v>
      </c>
      <c r="K320" t="s">
        <v>46</v>
      </c>
      <c r="L320" t="s">
        <v>28</v>
      </c>
      <c r="M320" t="s">
        <v>29</v>
      </c>
      <c r="N320" t="str">
        <f>+VLOOKUP(A320,[1]Buscador!$B:$E,4,0)</f>
        <v>Guayaquil</v>
      </c>
      <c r="O320" t="str">
        <f>+VLOOKUP(A320,[1]Buscador!$B:$F,5,0)</f>
        <v>Guayas</v>
      </c>
      <c r="P320" t="s">
        <v>153</v>
      </c>
      <c r="S320" t="s">
        <v>32</v>
      </c>
      <c r="T320" t="s">
        <v>33</v>
      </c>
      <c r="U320" t="s">
        <v>1203</v>
      </c>
      <c r="V320" t="s">
        <v>153</v>
      </c>
      <c r="W320" t="s">
        <v>1304</v>
      </c>
      <c r="X320" t="s">
        <v>1305</v>
      </c>
      <c r="Y320" t="s">
        <v>1306</v>
      </c>
      <c r="Z320" t="s">
        <v>1297</v>
      </c>
      <c r="AA320">
        <v>-2.2151156801999998</v>
      </c>
      <c r="AB320">
        <v>-79.889049472400004</v>
      </c>
      <c r="AC320">
        <v>0</v>
      </c>
      <c r="AD320">
        <f>+VLOOKUP(L320,Evalua!$G$2:$H$12,2,0)</f>
        <v>1</v>
      </c>
      <c r="AE320">
        <f>+VLOOKUP(M320,Evalua!$G$2:$H$12,2,0)</f>
        <v>2</v>
      </c>
    </row>
    <row r="321" spans="1:31" hidden="1" x14ac:dyDescent="0.2">
      <c r="A321" s="1" t="s">
        <v>1413</v>
      </c>
      <c r="B321" t="s">
        <v>1245</v>
      </c>
      <c r="D321" t="s">
        <v>1996</v>
      </c>
      <c r="E321" t="s">
        <v>1999</v>
      </c>
      <c r="G321" t="s">
        <v>1245</v>
      </c>
      <c r="H321" t="s">
        <v>153</v>
      </c>
      <c r="I321" t="s">
        <v>26</v>
      </c>
      <c r="J321" t="s">
        <v>39</v>
      </c>
      <c r="K321" t="s">
        <v>194</v>
      </c>
      <c r="L321" t="s">
        <v>28</v>
      </c>
      <c r="M321" t="s">
        <v>234</v>
      </c>
      <c r="N321" t="str">
        <f>+VLOOKUP(A321,[1]Buscador!$B:$E,4,0)</f>
        <v>El Carmen</v>
      </c>
      <c r="O321" t="str">
        <f>+VLOOKUP(A321,[1]Buscador!$B:$F,5,0)</f>
        <v>Manabí</v>
      </c>
      <c r="P321" t="s">
        <v>418</v>
      </c>
      <c r="Q321">
        <v>0</v>
      </c>
      <c r="R321">
        <v>4</v>
      </c>
      <c r="S321" t="s">
        <v>729</v>
      </c>
      <c r="T321" t="s">
        <v>730</v>
      </c>
      <c r="U321" t="s">
        <v>1245</v>
      </c>
      <c r="V321" t="s">
        <v>153</v>
      </c>
      <c r="W321" t="s">
        <v>1414</v>
      </c>
      <c r="X321" t="s">
        <v>1415</v>
      </c>
      <c r="Y321" t="s">
        <v>1416</v>
      </c>
      <c r="Z321" t="s">
        <v>1407</v>
      </c>
      <c r="AA321">
        <v>-0.27234110220000002</v>
      </c>
      <c r="AB321">
        <v>-79.462855468200004</v>
      </c>
      <c r="AC321">
        <v>0</v>
      </c>
      <c r="AD321">
        <f>+VLOOKUP(L321,Evalua!$G$2:$H$12,2,0)</f>
        <v>1</v>
      </c>
      <c r="AE321">
        <f>+VLOOKUP(M321,Evalua!$G$2:$H$12,2,0)</f>
        <v>3</v>
      </c>
    </row>
    <row r="322" spans="1:31" hidden="1" x14ac:dyDescent="0.2">
      <c r="A322" s="1" t="s">
        <v>1424</v>
      </c>
      <c r="B322" t="s">
        <v>1251</v>
      </c>
      <c r="D322" t="s">
        <v>2002</v>
      </c>
      <c r="E322" t="s">
        <v>1997</v>
      </c>
      <c r="G322" t="s">
        <v>1251</v>
      </c>
      <c r="H322" t="s">
        <v>153</v>
      </c>
      <c r="I322" t="s">
        <v>26</v>
      </c>
      <c r="J322" t="s">
        <v>39</v>
      </c>
      <c r="K322" t="s">
        <v>46</v>
      </c>
      <c r="L322" t="s">
        <v>28</v>
      </c>
      <c r="M322" t="s">
        <v>29</v>
      </c>
      <c r="N322" t="str">
        <f>+VLOOKUP(A322,[1]Buscador!$B:$E,4,0)</f>
        <v>La Aurora</v>
      </c>
      <c r="O322" t="str">
        <f>+VLOOKUP(A322,[1]Buscador!$B:$F,5,0)</f>
        <v>Guayas</v>
      </c>
      <c r="P322" t="s">
        <v>31</v>
      </c>
      <c r="Q322">
        <v>25</v>
      </c>
      <c r="R322">
        <v>5.3125</v>
      </c>
      <c r="S322" t="s">
        <v>32</v>
      </c>
      <c r="T322" t="s">
        <v>33</v>
      </c>
      <c r="U322" t="s">
        <v>1251</v>
      </c>
      <c r="V322" t="s">
        <v>153</v>
      </c>
      <c r="W322" t="s">
        <v>1425</v>
      </c>
      <c r="X322" t="s">
        <v>1426</v>
      </c>
      <c r="Y322" t="s">
        <v>1427</v>
      </c>
      <c r="Z322" t="s">
        <v>1423</v>
      </c>
      <c r="AA322">
        <v>-2.0552497306999999</v>
      </c>
      <c r="AB322">
        <v>-79.875205655399995</v>
      </c>
      <c r="AC322">
        <v>0</v>
      </c>
      <c r="AD322">
        <f>+VLOOKUP(L322,Evalua!$G$2:$H$12,2,0)</f>
        <v>1</v>
      </c>
      <c r="AE322">
        <f>+VLOOKUP(M322,Evalua!$G$2:$H$12,2,0)</f>
        <v>2</v>
      </c>
    </row>
    <row r="323" spans="1:31" hidden="1" x14ac:dyDescent="0.2">
      <c r="A323" s="1" t="s">
        <v>1439</v>
      </c>
      <c r="B323" t="s">
        <v>1256</v>
      </c>
      <c r="D323" t="s">
        <v>1990</v>
      </c>
      <c r="E323" t="s">
        <v>2007</v>
      </c>
      <c r="G323" t="s">
        <v>1256</v>
      </c>
      <c r="H323" t="s">
        <v>153</v>
      </c>
      <c r="I323" t="s">
        <v>26</v>
      </c>
      <c r="J323" t="s">
        <v>39</v>
      </c>
      <c r="K323" t="s">
        <v>183</v>
      </c>
      <c r="L323" t="s">
        <v>28</v>
      </c>
      <c r="M323" t="s">
        <v>160</v>
      </c>
      <c r="N323" t="str">
        <f>+VLOOKUP(A323,[1]Buscador!$B:$E,4,0)</f>
        <v>El Empalme</v>
      </c>
      <c r="O323" t="str">
        <f>+VLOOKUP(A323,[1]Buscador!$B:$F,5,0)</f>
        <v>Guayas</v>
      </c>
      <c r="P323" t="s">
        <v>31</v>
      </c>
      <c r="Q323">
        <v>20</v>
      </c>
      <c r="R323">
        <v>6.8</v>
      </c>
      <c r="S323" t="s">
        <v>162</v>
      </c>
      <c r="T323" t="s">
        <v>83</v>
      </c>
      <c r="U323" t="s">
        <v>1256</v>
      </c>
      <c r="V323" t="s">
        <v>153</v>
      </c>
      <c r="W323" t="s">
        <v>1440</v>
      </c>
      <c r="X323" t="s">
        <v>1441</v>
      </c>
      <c r="Y323" t="s">
        <v>1442</v>
      </c>
      <c r="Z323" t="s">
        <v>1433</v>
      </c>
      <c r="AA323">
        <v>-1.0423740465</v>
      </c>
      <c r="AB323">
        <v>-79.637542364400005</v>
      </c>
      <c r="AC323">
        <v>0</v>
      </c>
      <c r="AD323">
        <f>+VLOOKUP(L323,Evalua!$G$2:$H$12,2,0)</f>
        <v>1</v>
      </c>
      <c r="AE323">
        <f>+VLOOKUP(M323,Evalua!$G$2:$H$12,2,0)</f>
        <v>1</v>
      </c>
    </row>
    <row r="324" spans="1:31" hidden="1" x14ac:dyDescent="0.2">
      <c r="A324" s="1" t="s">
        <v>1501</v>
      </c>
      <c r="B324" t="s">
        <v>1288</v>
      </c>
      <c r="G324" t="s">
        <v>1288</v>
      </c>
      <c r="H324" t="s">
        <v>153</v>
      </c>
      <c r="I324" t="s">
        <v>26</v>
      </c>
      <c r="J324" t="s">
        <v>39</v>
      </c>
      <c r="K324" t="s">
        <v>194</v>
      </c>
      <c r="L324" t="s">
        <v>28</v>
      </c>
      <c r="M324" t="s">
        <v>234</v>
      </c>
      <c r="N324" t="str">
        <f>+VLOOKUP(A324,[1]Buscador!$B:$E,4,0)</f>
        <v>San Isidro</v>
      </c>
      <c r="O324" t="str">
        <f>+VLOOKUP(A324,[1]Buscador!$B:$F,5,0)</f>
        <v>Santo Domingo de los Tsáchilas</v>
      </c>
      <c r="P324" t="s">
        <v>31</v>
      </c>
      <c r="Q324">
        <v>15</v>
      </c>
      <c r="R324">
        <v>7.96875</v>
      </c>
      <c r="S324" t="s">
        <v>729</v>
      </c>
      <c r="T324" t="s">
        <v>730</v>
      </c>
      <c r="U324" t="s">
        <v>1288</v>
      </c>
      <c r="V324" t="s">
        <v>153</v>
      </c>
      <c r="W324" t="s">
        <v>1502</v>
      </c>
      <c r="X324" t="s">
        <v>1503</v>
      </c>
      <c r="Y324" t="s">
        <v>1504</v>
      </c>
      <c r="Z324" t="s">
        <v>1500</v>
      </c>
      <c r="AA324">
        <v>4.7511680000000001E-3</v>
      </c>
      <c r="AB324">
        <v>-79.397524259799994</v>
      </c>
      <c r="AC324">
        <v>0</v>
      </c>
      <c r="AD324">
        <f>+VLOOKUP(L324,Evalua!$G$2:$H$12,2,0)</f>
        <v>1</v>
      </c>
      <c r="AE324">
        <f>+VLOOKUP(M324,Evalua!$G$2:$H$12,2,0)</f>
        <v>3</v>
      </c>
    </row>
    <row r="325" spans="1:31" hidden="1" x14ac:dyDescent="0.2">
      <c r="A325" s="1" t="s">
        <v>1517</v>
      </c>
      <c r="B325" t="s">
        <v>1294</v>
      </c>
      <c r="D325" t="s">
        <v>1990</v>
      </c>
      <c r="E325" t="s">
        <v>2000</v>
      </c>
      <c r="G325" t="s">
        <v>1294</v>
      </c>
      <c r="H325" t="s">
        <v>153</v>
      </c>
      <c r="I325" t="s">
        <v>26</v>
      </c>
      <c r="J325" t="s">
        <v>39</v>
      </c>
      <c r="K325" t="s">
        <v>46</v>
      </c>
      <c r="L325" t="s">
        <v>28</v>
      </c>
      <c r="M325" t="s">
        <v>29</v>
      </c>
      <c r="N325" t="str">
        <f>+VLOOKUP(A325,[1]Buscador!$B:$E,4,0)</f>
        <v>La Libertad</v>
      </c>
      <c r="O325" t="str">
        <f>+VLOOKUP(A325,[1]Buscador!$B:$F,5,0)</f>
        <v>Santa Elena</v>
      </c>
      <c r="P325" t="s">
        <v>31</v>
      </c>
      <c r="Q325">
        <v>50</v>
      </c>
      <c r="R325">
        <v>14.16666666666667</v>
      </c>
      <c r="S325" t="s">
        <v>32</v>
      </c>
      <c r="T325" t="s">
        <v>33</v>
      </c>
      <c r="U325" t="s">
        <v>1294</v>
      </c>
      <c r="V325" t="s">
        <v>1922</v>
      </c>
      <c r="W325" t="s">
        <v>1518</v>
      </c>
      <c r="X325" t="s">
        <v>1519</v>
      </c>
      <c r="Y325" t="s">
        <v>1520</v>
      </c>
      <c r="Z325" t="s">
        <v>1511</v>
      </c>
      <c r="AA325">
        <v>-2.2212702792000001</v>
      </c>
      <c r="AB325">
        <v>-80.9081972245</v>
      </c>
      <c r="AC325">
        <v>0</v>
      </c>
      <c r="AD325">
        <f>+VLOOKUP(L325,Evalua!$G$2:$H$12,2,0)</f>
        <v>1</v>
      </c>
      <c r="AE325">
        <f>+VLOOKUP(M325,Evalua!$G$2:$H$12,2,0)</f>
        <v>2</v>
      </c>
    </row>
    <row r="326" spans="1:31" hidden="1" x14ac:dyDescent="0.2">
      <c r="A326" s="1" t="s">
        <v>1532</v>
      </c>
      <c r="B326" t="s">
        <v>1300</v>
      </c>
      <c r="G326" t="s">
        <v>1300</v>
      </c>
      <c r="H326" t="s">
        <v>153</v>
      </c>
      <c r="I326" t="s">
        <v>26</v>
      </c>
      <c r="J326" t="s">
        <v>39</v>
      </c>
      <c r="K326" t="s">
        <v>46</v>
      </c>
      <c r="L326" t="s">
        <v>28</v>
      </c>
      <c r="M326" t="s">
        <v>29</v>
      </c>
      <c r="N326" t="str">
        <f>+VLOOKUP(A326,[1]Buscador!$B:$E,4,0)</f>
        <v>La Troncal</v>
      </c>
      <c r="O326" t="str">
        <f>+VLOOKUP(A326,[1]Buscador!$B:$F,5,0)</f>
        <v>Cañar</v>
      </c>
      <c r="P326" t="s">
        <v>31</v>
      </c>
      <c r="Q326">
        <v>50</v>
      </c>
      <c r="R326">
        <v>17</v>
      </c>
      <c r="S326" t="s">
        <v>32</v>
      </c>
      <c r="T326" t="s">
        <v>33</v>
      </c>
      <c r="U326" t="s">
        <v>1300</v>
      </c>
      <c r="V326" t="s">
        <v>153</v>
      </c>
      <c r="W326" t="s">
        <v>195</v>
      </c>
      <c r="X326" t="s">
        <v>1533</v>
      </c>
      <c r="Y326" t="s">
        <v>1534</v>
      </c>
      <c r="Z326" t="s">
        <v>1526</v>
      </c>
      <c r="AA326">
        <v>-2.4231470859000002</v>
      </c>
      <c r="AB326">
        <v>-79.343161461999998</v>
      </c>
      <c r="AC326">
        <v>0</v>
      </c>
      <c r="AD326">
        <f>+VLOOKUP(L326,Evalua!$G$2:$H$12,2,0)</f>
        <v>1</v>
      </c>
      <c r="AE326">
        <f>+VLOOKUP(M326,Evalua!$G$2:$H$12,2,0)</f>
        <v>2</v>
      </c>
    </row>
    <row r="327" spans="1:31" hidden="1" x14ac:dyDescent="0.2">
      <c r="A327" s="1" t="s">
        <v>93</v>
      </c>
      <c r="B327" t="s">
        <v>59</v>
      </c>
      <c r="D327" t="s">
        <v>2003</v>
      </c>
      <c r="E327" t="s">
        <v>1997</v>
      </c>
      <c r="G327" t="s">
        <v>59</v>
      </c>
      <c r="H327" t="s">
        <v>153</v>
      </c>
      <c r="I327" t="s">
        <v>26</v>
      </c>
      <c r="J327" t="s">
        <v>39</v>
      </c>
      <c r="K327" t="s">
        <v>46</v>
      </c>
      <c r="L327" t="s">
        <v>81</v>
      </c>
      <c r="M327" t="s">
        <v>29</v>
      </c>
      <c r="N327" t="str">
        <f>+VLOOKUP(A327,[1]Buscador!$B:$E,4,0)</f>
        <v>Guayaquil</v>
      </c>
      <c r="O327" t="str">
        <f>+VLOOKUP(A327,[1]Buscador!$B:$F,5,0)</f>
        <v>Guayas</v>
      </c>
      <c r="P327" t="s">
        <v>31</v>
      </c>
      <c r="Q327">
        <v>250</v>
      </c>
      <c r="R327">
        <v>10.625</v>
      </c>
      <c r="S327" t="s">
        <v>82</v>
      </c>
      <c r="T327" t="s">
        <v>83</v>
      </c>
      <c r="U327" t="s">
        <v>59</v>
      </c>
      <c r="V327" t="s">
        <v>153</v>
      </c>
      <c r="W327" t="s">
        <v>94</v>
      </c>
      <c r="X327" t="s">
        <v>95</v>
      </c>
      <c r="Y327" t="s">
        <v>96</v>
      </c>
      <c r="Z327" t="s">
        <v>87</v>
      </c>
      <c r="AA327">
        <v>-2.1335977860000002</v>
      </c>
      <c r="AB327">
        <v>-79.904058839300006</v>
      </c>
      <c r="AC327">
        <v>0</v>
      </c>
      <c r="AD327">
        <f>+VLOOKUP(L327,Evalua!$G$2:$H$12,2,0)</f>
        <v>3</v>
      </c>
      <c r="AE327">
        <f>+VLOOKUP(M327,Evalua!$G$2:$H$12,2,0)</f>
        <v>2</v>
      </c>
    </row>
    <row r="328" spans="1:31" hidden="1" x14ac:dyDescent="0.2">
      <c r="A328" s="1" t="s">
        <v>1563</v>
      </c>
      <c r="B328" t="s">
        <v>1316</v>
      </c>
      <c r="D328" t="s">
        <v>1990</v>
      </c>
      <c r="E328" t="s">
        <v>2000</v>
      </c>
      <c r="G328" t="s">
        <v>1316</v>
      </c>
      <c r="H328" t="s">
        <v>153</v>
      </c>
      <c r="I328" t="s">
        <v>26</v>
      </c>
      <c r="J328" t="s">
        <v>39</v>
      </c>
      <c r="K328" t="s">
        <v>46</v>
      </c>
      <c r="L328" t="s">
        <v>28</v>
      </c>
      <c r="M328" t="s">
        <v>29</v>
      </c>
      <c r="N328" t="str">
        <f>+VLOOKUP(A328,[1]Buscador!$B:$E,4,0)</f>
        <v>Guayaquil</v>
      </c>
      <c r="O328" t="str">
        <f>+VLOOKUP(A328,[1]Buscador!$B:$F,5,0)</f>
        <v>Guayas</v>
      </c>
      <c r="P328" t="s">
        <v>31</v>
      </c>
      <c r="Q328">
        <v>350</v>
      </c>
      <c r="R328">
        <v>9.9166666666666661</v>
      </c>
      <c r="S328" t="s">
        <v>32</v>
      </c>
      <c r="T328" t="s">
        <v>33</v>
      </c>
      <c r="U328" t="s">
        <v>1316</v>
      </c>
      <c r="V328" t="s">
        <v>153</v>
      </c>
      <c r="W328" t="s">
        <v>1564</v>
      </c>
      <c r="X328" t="s">
        <v>1565</v>
      </c>
      <c r="Y328" t="s">
        <v>1566</v>
      </c>
      <c r="Z328" t="s">
        <v>637</v>
      </c>
      <c r="AA328">
        <v>-2.1800670462</v>
      </c>
      <c r="AB328">
        <v>-79.944811350099997</v>
      </c>
      <c r="AC328">
        <v>0</v>
      </c>
      <c r="AD328">
        <f>+VLOOKUP(L328,Evalua!$G$2:$H$12,2,0)</f>
        <v>1</v>
      </c>
      <c r="AE328">
        <f>+VLOOKUP(M328,Evalua!$G$2:$H$12,2,0)</f>
        <v>2</v>
      </c>
    </row>
    <row r="329" spans="1:31" hidden="1" x14ac:dyDescent="0.2">
      <c r="A329" s="1" t="s">
        <v>1542</v>
      </c>
      <c r="B329" t="s">
        <v>1304</v>
      </c>
      <c r="D329" t="s">
        <v>1995</v>
      </c>
      <c r="E329" t="s">
        <v>1997</v>
      </c>
      <c r="G329" t="s">
        <v>1304</v>
      </c>
      <c r="H329" t="s">
        <v>153</v>
      </c>
      <c r="I329" t="s">
        <v>26</v>
      </c>
      <c r="J329" t="s">
        <v>39</v>
      </c>
      <c r="K329" t="s">
        <v>46</v>
      </c>
      <c r="L329" t="s">
        <v>28</v>
      </c>
      <c r="M329" t="s">
        <v>29</v>
      </c>
      <c r="N329" t="str">
        <f>+VLOOKUP(A329,[1]Buscador!$B:$E,4,0)</f>
        <v>Guayaquil</v>
      </c>
      <c r="O329" t="str">
        <f>+VLOOKUP(A329,[1]Buscador!$B:$F,5,0)</f>
        <v>Guayas</v>
      </c>
      <c r="P329" t="s">
        <v>31</v>
      </c>
      <c r="Q329">
        <v>60</v>
      </c>
      <c r="R329">
        <v>17</v>
      </c>
      <c r="S329" t="s">
        <v>32</v>
      </c>
      <c r="T329" t="s">
        <v>33</v>
      </c>
      <c r="U329" t="s">
        <v>1304</v>
      </c>
      <c r="V329" t="s">
        <v>153</v>
      </c>
      <c r="W329" t="s">
        <v>1543</v>
      </c>
      <c r="X329" t="s">
        <v>1544</v>
      </c>
      <c r="Y329" t="s">
        <v>1545</v>
      </c>
      <c r="Z329" t="s">
        <v>1541</v>
      </c>
      <c r="AA329">
        <v>-2.1711010000000002</v>
      </c>
      <c r="AB329">
        <v>-79.911039000000002</v>
      </c>
      <c r="AC329">
        <v>0</v>
      </c>
      <c r="AD329">
        <f>+VLOOKUP(L329,Evalua!$G$2:$H$12,2,0)</f>
        <v>1</v>
      </c>
      <c r="AE329">
        <f>+VLOOKUP(M329,Evalua!$G$2:$H$12,2,0)</f>
        <v>2</v>
      </c>
    </row>
    <row r="330" spans="1:31" hidden="1" x14ac:dyDescent="0.2">
      <c r="A330" s="1" t="s">
        <v>1648</v>
      </c>
      <c r="B330" t="s">
        <v>1382</v>
      </c>
      <c r="D330" t="s">
        <v>2003</v>
      </c>
      <c r="E330" t="s">
        <v>1998</v>
      </c>
      <c r="G330" t="s">
        <v>1382</v>
      </c>
      <c r="H330" t="s">
        <v>153</v>
      </c>
      <c r="I330" t="s">
        <v>26</v>
      </c>
      <c r="J330" t="s">
        <v>39</v>
      </c>
      <c r="K330" t="s">
        <v>46</v>
      </c>
      <c r="L330" t="s">
        <v>28</v>
      </c>
      <c r="M330" t="s">
        <v>29</v>
      </c>
      <c r="N330" t="str">
        <f>+VLOOKUP(A330,[1]Buscador!$B:$E,4,0)</f>
        <v>Guayaquil</v>
      </c>
      <c r="O330" t="str">
        <f>+VLOOKUP(A330,[1]Buscador!$B:$F,5,0)</f>
        <v>Guayas</v>
      </c>
      <c r="P330" t="s">
        <v>31</v>
      </c>
      <c r="Q330">
        <v>5</v>
      </c>
      <c r="R330">
        <v>8.5</v>
      </c>
      <c r="S330" t="s">
        <v>32</v>
      </c>
      <c r="T330" t="s">
        <v>33</v>
      </c>
      <c r="U330" t="s">
        <v>1382</v>
      </c>
      <c r="V330" t="s">
        <v>153</v>
      </c>
      <c r="X330" t="s">
        <v>1649</v>
      </c>
      <c r="Z330" t="s">
        <v>1935</v>
      </c>
      <c r="AA330">
        <v>-2.1931403563253</v>
      </c>
      <c r="AB330">
        <v>-79.888195372799004</v>
      </c>
      <c r="AC330">
        <v>0</v>
      </c>
      <c r="AD330">
        <f>+VLOOKUP(L330,Evalua!$G$2:$H$12,2,0)</f>
        <v>1</v>
      </c>
      <c r="AE330">
        <f>+VLOOKUP(M330,Evalua!$G$2:$H$12,2,0)</f>
        <v>2</v>
      </c>
    </row>
    <row r="331" spans="1:31" hidden="1" x14ac:dyDescent="0.2">
      <c r="A331" s="1" t="s">
        <v>1601</v>
      </c>
      <c r="B331" t="s">
        <v>1350</v>
      </c>
      <c r="D331" t="s">
        <v>2002</v>
      </c>
      <c r="E331" t="s">
        <v>1997</v>
      </c>
      <c r="G331" t="s">
        <v>1350</v>
      </c>
      <c r="H331" t="s">
        <v>153</v>
      </c>
      <c r="I331" t="s">
        <v>26</v>
      </c>
      <c r="J331" t="s">
        <v>39</v>
      </c>
      <c r="K331" t="s">
        <v>46</v>
      </c>
      <c r="L331" t="s">
        <v>28</v>
      </c>
      <c r="M331" t="s">
        <v>29</v>
      </c>
      <c r="N331" t="str">
        <f>+VLOOKUP(A331,[1]Buscador!$B:$E,4,0)</f>
        <v>Guayaquil</v>
      </c>
      <c r="O331" t="str">
        <f>+VLOOKUP(A331,[1]Buscador!$B:$F,5,0)</f>
        <v>Guayas</v>
      </c>
      <c r="P331" t="s">
        <v>31</v>
      </c>
      <c r="S331" t="s">
        <v>32</v>
      </c>
      <c r="T331" t="s">
        <v>33</v>
      </c>
      <c r="U331" t="s">
        <v>1350</v>
      </c>
      <c r="V331" t="s">
        <v>153</v>
      </c>
      <c r="X331" t="s">
        <v>1602</v>
      </c>
      <c r="Z331" t="s">
        <v>1929</v>
      </c>
      <c r="AA331">
        <v>-2.1554236042518999</v>
      </c>
      <c r="AB331">
        <v>-79.893033267529006</v>
      </c>
      <c r="AC331">
        <v>0</v>
      </c>
      <c r="AD331">
        <f>+VLOOKUP(L331,Evalua!$G$2:$H$12,2,0)</f>
        <v>1</v>
      </c>
      <c r="AE331">
        <f>+VLOOKUP(M331,Evalua!$G$2:$H$12,2,0)</f>
        <v>2</v>
      </c>
    </row>
    <row r="332" spans="1:31" hidden="1" x14ac:dyDescent="0.2">
      <c r="A332" s="1" t="s">
        <v>1613</v>
      </c>
      <c r="B332" t="s">
        <v>1355</v>
      </c>
      <c r="D332" t="s">
        <v>2002</v>
      </c>
      <c r="E332" t="s">
        <v>2006</v>
      </c>
      <c r="G332" t="s">
        <v>1355</v>
      </c>
      <c r="H332" t="s">
        <v>153</v>
      </c>
      <c r="I332" t="s">
        <v>26</v>
      </c>
      <c r="J332" t="s">
        <v>39</v>
      </c>
      <c r="K332" t="s">
        <v>46</v>
      </c>
      <c r="L332" t="s">
        <v>28</v>
      </c>
      <c r="M332" t="s">
        <v>29</v>
      </c>
      <c r="N332" t="str">
        <f>+VLOOKUP(A332,[1]Buscador!$B:$E,4,0)</f>
        <v>Guayaquil</v>
      </c>
      <c r="O332" t="str">
        <f>+VLOOKUP(A332,[1]Buscador!$B:$F,5,0)</f>
        <v>Guayas</v>
      </c>
      <c r="P332" t="s">
        <v>31</v>
      </c>
      <c r="S332" t="s">
        <v>32</v>
      </c>
      <c r="T332" t="s">
        <v>33</v>
      </c>
      <c r="U332" t="s">
        <v>1355</v>
      </c>
      <c r="V332" t="s">
        <v>153</v>
      </c>
      <c r="X332" t="s">
        <v>1614</v>
      </c>
      <c r="Z332" t="s">
        <v>1930</v>
      </c>
      <c r="AA332">
        <v>-2.2291479999999999</v>
      </c>
      <c r="AB332">
        <v>-79.898456999999993</v>
      </c>
      <c r="AC332">
        <v>0</v>
      </c>
      <c r="AD332">
        <f>+VLOOKUP(L332,Evalua!$G$2:$H$12,2,0)</f>
        <v>1</v>
      </c>
      <c r="AE332">
        <f>+VLOOKUP(M332,Evalua!$G$2:$H$12,2,0)</f>
        <v>2</v>
      </c>
    </row>
    <row r="333" spans="1:31" hidden="1" x14ac:dyDescent="0.2">
      <c r="A333" s="1" t="s">
        <v>1628</v>
      </c>
      <c r="B333" t="s">
        <v>298</v>
      </c>
      <c r="D333" t="s">
        <v>2002</v>
      </c>
      <c r="E333" t="s">
        <v>1998</v>
      </c>
      <c r="G333" t="s">
        <v>298</v>
      </c>
      <c r="H333" t="s">
        <v>153</v>
      </c>
      <c r="I333" t="s">
        <v>26</v>
      </c>
      <c r="J333" t="s">
        <v>39</v>
      </c>
      <c r="K333" t="s">
        <v>170</v>
      </c>
      <c r="L333" t="s">
        <v>81</v>
      </c>
      <c r="M333" t="s">
        <v>29</v>
      </c>
      <c r="N333" t="str">
        <f>+VLOOKUP(A333,[1]Buscador!$B:$E,4,0)</f>
        <v>Manta</v>
      </c>
      <c r="O333" t="str">
        <f>+VLOOKUP(A333,[1]Buscador!$B:$F,5,0)</f>
        <v>Manabí</v>
      </c>
      <c r="P333" t="s">
        <v>31</v>
      </c>
      <c r="Q333">
        <v>50</v>
      </c>
      <c r="R333">
        <v>4.25</v>
      </c>
      <c r="S333" t="s">
        <v>82</v>
      </c>
      <c r="T333" t="s">
        <v>83</v>
      </c>
      <c r="U333" t="s">
        <v>298</v>
      </c>
      <c r="V333" t="s">
        <v>153</v>
      </c>
      <c r="X333" t="s">
        <v>1629</v>
      </c>
      <c r="Z333" t="s">
        <v>1932</v>
      </c>
      <c r="AA333">
        <v>-0.94425921393837997</v>
      </c>
      <c r="AB333">
        <v>-80.723623947716007</v>
      </c>
      <c r="AC333">
        <v>0</v>
      </c>
      <c r="AD333">
        <f>+VLOOKUP(L333,Evalua!$G$2:$H$12,2,0)</f>
        <v>3</v>
      </c>
      <c r="AE333">
        <f>+VLOOKUP(M333,Evalua!$G$2:$H$12,2,0)</f>
        <v>2</v>
      </c>
    </row>
    <row r="334" spans="1:31" hidden="1" x14ac:dyDescent="0.2">
      <c r="A334" s="1" t="s">
        <v>1642</v>
      </c>
      <c r="B334" t="s">
        <v>1377</v>
      </c>
      <c r="D334" t="s">
        <v>2002</v>
      </c>
      <c r="E334" t="s">
        <v>2001</v>
      </c>
      <c r="G334" t="s">
        <v>1377</v>
      </c>
      <c r="H334" t="s">
        <v>153</v>
      </c>
      <c r="I334" t="s">
        <v>26</v>
      </c>
      <c r="J334" t="s">
        <v>39</v>
      </c>
      <c r="K334" t="s">
        <v>46</v>
      </c>
      <c r="L334" t="s">
        <v>28</v>
      </c>
      <c r="M334" t="s">
        <v>29</v>
      </c>
      <c r="N334" t="str">
        <f>+VLOOKUP(A334,[1]Buscador!$B:$E,4,0)</f>
        <v>Guayaquil</v>
      </c>
      <c r="O334" t="str">
        <f>+VLOOKUP(A334,[1]Buscador!$B:$F,5,0)</f>
        <v>Guayas</v>
      </c>
      <c r="P334" t="s">
        <v>31</v>
      </c>
      <c r="Q334">
        <v>1500</v>
      </c>
      <c r="R334">
        <v>14.16666666666667</v>
      </c>
      <c r="S334" t="s">
        <v>32</v>
      </c>
      <c r="T334" t="s">
        <v>33</v>
      </c>
      <c r="U334" t="s">
        <v>1377</v>
      </c>
      <c r="V334" t="s">
        <v>153</v>
      </c>
      <c r="X334" t="s">
        <v>1643</v>
      </c>
      <c r="Z334" t="s">
        <v>1934</v>
      </c>
      <c r="AA334">
        <v>-2.1899148432515001</v>
      </c>
      <c r="AB334">
        <v>-79.879941750821999</v>
      </c>
      <c r="AC334">
        <v>0</v>
      </c>
      <c r="AD334">
        <f>+VLOOKUP(L334,Evalua!$G$2:$H$12,2,0)</f>
        <v>1</v>
      </c>
      <c r="AE334">
        <f>+VLOOKUP(M334,Evalua!$G$2:$H$12,2,0)</f>
        <v>2</v>
      </c>
    </row>
    <row r="335" spans="1:31" hidden="1" x14ac:dyDescent="0.2">
      <c r="A335" s="1" t="s">
        <v>1666</v>
      </c>
      <c r="B335" t="s">
        <v>1398</v>
      </c>
      <c r="D335" t="s">
        <v>2013</v>
      </c>
      <c r="E335" t="s">
        <v>2012</v>
      </c>
      <c r="G335" t="s">
        <v>1398</v>
      </c>
      <c r="H335" t="s">
        <v>153</v>
      </c>
      <c r="I335" t="s">
        <v>26</v>
      </c>
      <c r="J335" t="s">
        <v>39</v>
      </c>
      <c r="K335" t="s">
        <v>46</v>
      </c>
      <c r="L335" t="s">
        <v>81</v>
      </c>
      <c r="M335" t="s">
        <v>234</v>
      </c>
      <c r="N335" t="str">
        <f>+VLOOKUP(A335,[1]Buscador!$B:$E,4,0)</f>
        <v>Guayaquil</v>
      </c>
      <c r="O335" t="str">
        <f>+VLOOKUP(A335,[1]Buscador!$B:$F,5,0)</f>
        <v>Guayas</v>
      </c>
      <c r="P335" t="s">
        <v>31</v>
      </c>
      <c r="Q335">
        <v>50</v>
      </c>
      <c r="R335">
        <v>21.25</v>
      </c>
      <c r="S335" t="s">
        <v>235</v>
      </c>
      <c r="T335" t="s">
        <v>33</v>
      </c>
      <c r="U335" t="s">
        <v>1398</v>
      </c>
      <c r="V335" t="s">
        <v>153</v>
      </c>
      <c r="X335" t="s">
        <v>1667</v>
      </c>
      <c r="Z335" t="s">
        <v>1937</v>
      </c>
      <c r="AA335">
        <v>-2.0986220000000002</v>
      </c>
      <c r="AB335">
        <v>-79.936397999999997</v>
      </c>
      <c r="AC335">
        <v>0</v>
      </c>
      <c r="AD335">
        <f>+VLOOKUP(L335,Evalua!$G$2:$H$12,2,0)</f>
        <v>3</v>
      </c>
      <c r="AE335">
        <f>+VLOOKUP(M335,Evalua!$G$2:$H$12,2,0)</f>
        <v>3</v>
      </c>
    </row>
    <row r="336" spans="1:31" hidden="1" x14ac:dyDescent="0.2">
      <c r="A336" s="1" t="s">
        <v>1696</v>
      </c>
      <c r="B336" t="s">
        <v>1420</v>
      </c>
      <c r="D336" t="s">
        <v>2003</v>
      </c>
      <c r="E336" t="s">
        <v>1997</v>
      </c>
      <c r="G336" t="s">
        <v>1420</v>
      </c>
      <c r="H336" t="s">
        <v>153</v>
      </c>
      <c r="I336" t="s">
        <v>26</v>
      </c>
      <c r="J336" t="s">
        <v>39</v>
      </c>
      <c r="K336" t="s">
        <v>46</v>
      </c>
      <c r="L336" t="s">
        <v>28</v>
      </c>
      <c r="M336" t="s">
        <v>29</v>
      </c>
      <c r="N336" t="str">
        <f>+VLOOKUP(A336,[1]Buscador!$B:$E,4,0)</f>
        <v>Guayaquil</v>
      </c>
      <c r="O336" t="str">
        <f>+VLOOKUP(A336,[1]Buscador!$B:$F,5,0)</f>
        <v>Guayas</v>
      </c>
      <c r="P336" t="s">
        <v>31</v>
      </c>
      <c r="S336" t="s">
        <v>32</v>
      </c>
      <c r="T336" t="s">
        <v>33</v>
      </c>
      <c r="U336" t="s">
        <v>1420</v>
      </c>
      <c r="V336" t="s">
        <v>153</v>
      </c>
      <c r="X336" t="s">
        <v>1697</v>
      </c>
      <c r="Z336" t="s">
        <v>1941</v>
      </c>
      <c r="AA336">
        <v>-2.1711770000000001</v>
      </c>
      <c r="AB336">
        <v>-79.900566999999995</v>
      </c>
      <c r="AC336">
        <v>0</v>
      </c>
      <c r="AD336">
        <f>+VLOOKUP(L336,Evalua!$G$2:$H$12,2,0)</f>
        <v>1</v>
      </c>
      <c r="AE336">
        <f>+VLOOKUP(M336,Evalua!$G$2:$H$12,2,0)</f>
        <v>2</v>
      </c>
    </row>
    <row r="337" spans="1:31" hidden="1" x14ac:dyDescent="0.2">
      <c r="A337" s="1" t="s">
        <v>1829</v>
      </c>
      <c r="B337" t="s">
        <v>1529</v>
      </c>
      <c r="D337" t="s">
        <v>2003</v>
      </c>
      <c r="E337" t="s">
        <v>1997</v>
      </c>
      <c r="G337" t="s">
        <v>1529</v>
      </c>
      <c r="H337" t="s">
        <v>153</v>
      </c>
      <c r="I337" t="s">
        <v>26</v>
      </c>
      <c r="J337" t="s">
        <v>39</v>
      </c>
      <c r="K337" t="s">
        <v>46</v>
      </c>
      <c r="L337" t="s">
        <v>28</v>
      </c>
      <c r="M337" t="s">
        <v>29</v>
      </c>
      <c r="N337" t="str">
        <f>+VLOOKUP(A337,[1]Buscador!$B:$E,4,0)</f>
        <v>Guayaquil</v>
      </c>
      <c r="O337" t="str">
        <f>+VLOOKUP(A337,[1]Buscador!$B:$F,5,0)</f>
        <v>Guayas</v>
      </c>
      <c r="P337" t="s">
        <v>31</v>
      </c>
      <c r="S337" t="s">
        <v>32</v>
      </c>
      <c r="T337" t="s">
        <v>33</v>
      </c>
      <c r="U337" t="s">
        <v>1529</v>
      </c>
      <c r="V337" t="s">
        <v>153</v>
      </c>
      <c r="X337" t="s">
        <v>1830</v>
      </c>
      <c r="Z337" t="s">
        <v>1960</v>
      </c>
      <c r="AA337">
        <v>-2.1694677273971998</v>
      </c>
      <c r="AB337">
        <v>-79.898525228330001</v>
      </c>
      <c r="AC337">
        <v>0</v>
      </c>
      <c r="AD337">
        <f>+VLOOKUP(L337,Evalua!$G$2:$H$12,2,0)</f>
        <v>1</v>
      </c>
      <c r="AE337">
        <f>+VLOOKUP(M337,Evalua!$G$2:$H$12,2,0)</f>
        <v>2</v>
      </c>
    </row>
    <row r="338" spans="1:31" hidden="1" x14ac:dyDescent="0.2">
      <c r="A338" s="1" t="s">
        <v>1681</v>
      </c>
      <c r="B338" t="s">
        <v>1410</v>
      </c>
      <c r="D338" t="s">
        <v>2002</v>
      </c>
      <c r="E338" t="s">
        <v>1997</v>
      </c>
      <c r="G338" t="s">
        <v>1410</v>
      </c>
      <c r="H338" t="s">
        <v>153</v>
      </c>
      <c r="I338" t="s">
        <v>26</v>
      </c>
      <c r="J338" t="s">
        <v>39</v>
      </c>
      <c r="K338" t="s">
        <v>46</v>
      </c>
      <c r="L338" t="s">
        <v>28</v>
      </c>
      <c r="M338" t="s">
        <v>29</v>
      </c>
      <c r="N338" t="str">
        <f>+VLOOKUP(A338,[1]Buscador!$B:$E,4,0)</f>
        <v>Durán</v>
      </c>
      <c r="O338" t="str">
        <f>+VLOOKUP(A338,[1]Buscador!$B:$F,5,0)</f>
        <v>Guayas</v>
      </c>
      <c r="P338" t="s">
        <v>31</v>
      </c>
      <c r="S338" t="s">
        <v>32</v>
      </c>
      <c r="T338" t="s">
        <v>33</v>
      </c>
      <c r="U338" t="s">
        <v>1410</v>
      </c>
      <c r="V338" t="s">
        <v>153</v>
      </c>
      <c r="X338" t="s">
        <v>1682</v>
      </c>
      <c r="Z338" t="s">
        <v>1939</v>
      </c>
      <c r="AA338">
        <v>-2.1775213265339999</v>
      </c>
      <c r="AB338">
        <v>-79.825584041664001</v>
      </c>
      <c r="AC338">
        <v>0</v>
      </c>
      <c r="AD338">
        <f>+VLOOKUP(L338,Evalua!$G$2:$H$12,2,0)</f>
        <v>1</v>
      </c>
      <c r="AE338">
        <f>+VLOOKUP(M338,Evalua!$G$2:$H$12,2,0)</f>
        <v>2</v>
      </c>
    </row>
    <row r="339" spans="1:31" hidden="1" x14ac:dyDescent="0.2">
      <c r="A339" s="1" t="s">
        <v>1873</v>
      </c>
      <c r="B339" t="s">
        <v>1564</v>
      </c>
      <c r="D339" t="s">
        <v>2003</v>
      </c>
      <c r="E339" t="s">
        <v>1997</v>
      </c>
      <c r="G339" t="s">
        <v>1564</v>
      </c>
      <c r="H339" t="s">
        <v>153</v>
      </c>
      <c r="I339" t="s">
        <v>26</v>
      </c>
      <c r="J339" t="s">
        <v>39</v>
      </c>
      <c r="K339" t="s">
        <v>46</v>
      </c>
      <c r="L339" t="s">
        <v>81</v>
      </c>
      <c r="M339" t="s">
        <v>29</v>
      </c>
      <c r="N339" t="str">
        <f>+VLOOKUP(A339,[1]Buscador!$B:$E,4,0)</f>
        <v>Guayaquil</v>
      </c>
      <c r="O339" t="str">
        <f>+VLOOKUP(A339,[1]Buscador!$B:$F,5,0)</f>
        <v>Guayas</v>
      </c>
      <c r="P339" t="s">
        <v>31</v>
      </c>
      <c r="Q339">
        <v>30</v>
      </c>
      <c r="R339">
        <v>7.2857142857142856</v>
      </c>
      <c r="S339" t="s">
        <v>82</v>
      </c>
      <c r="T339" t="s">
        <v>83</v>
      </c>
      <c r="U339" t="s">
        <v>1564</v>
      </c>
      <c r="V339" t="s">
        <v>153</v>
      </c>
      <c r="X339" t="s">
        <v>1874</v>
      </c>
      <c r="Z339" t="s">
        <v>1966</v>
      </c>
      <c r="AA339">
        <v>-2.175465</v>
      </c>
      <c r="AB339">
        <v>-79.904724999999999</v>
      </c>
      <c r="AC339">
        <v>0</v>
      </c>
      <c r="AD339">
        <f>+VLOOKUP(L339,Evalua!$G$2:$H$12,2,0)</f>
        <v>3</v>
      </c>
      <c r="AE339">
        <f>+VLOOKUP(M339,Evalua!$G$2:$H$12,2,0)</f>
        <v>2</v>
      </c>
    </row>
    <row r="340" spans="1:31" hidden="1" x14ac:dyDescent="0.2">
      <c r="A340" s="1" t="s">
        <v>200</v>
      </c>
      <c r="B340" t="s">
        <v>132</v>
      </c>
      <c r="D340" t="s">
        <v>2013</v>
      </c>
      <c r="E340" t="s">
        <v>2012</v>
      </c>
      <c r="G340" t="s">
        <v>132</v>
      </c>
      <c r="H340" t="s">
        <v>153</v>
      </c>
      <c r="I340" t="s">
        <v>26</v>
      </c>
      <c r="J340" t="s">
        <v>136</v>
      </c>
      <c r="K340" t="s">
        <v>46</v>
      </c>
      <c r="L340" t="s">
        <v>28</v>
      </c>
      <c r="M340" t="s">
        <v>29</v>
      </c>
      <c r="N340" t="str">
        <f>+VLOOKUP(A340,[1]Buscador!$B:$E,4,0)</f>
        <v>Guayaquil</v>
      </c>
      <c r="O340" t="str">
        <f>+VLOOKUP(A340,[1]Buscador!$B:$F,5,0)</f>
        <v>Guayas</v>
      </c>
      <c r="P340" t="s">
        <v>31</v>
      </c>
      <c r="S340" t="s">
        <v>32</v>
      </c>
      <c r="T340" t="s">
        <v>33</v>
      </c>
      <c r="U340" t="s">
        <v>132</v>
      </c>
      <c r="V340" t="s">
        <v>153</v>
      </c>
      <c r="W340" t="s">
        <v>201</v>
      </c>
      <c r="X340" t="s">
        <v>202</v>
      </c>
      <c r="Y340" t="s">
        <v>203</v>
      </c>
      <c r="Z340" t="s">
        <v>204</v>
      </c>
      <c r="AA340">
        <v>-2.1105330000000002</v>
      </c>
      <c r="AB340">
        <v>-79.937646000000001</v>
      </c>
      <c r="AC340">
        <v>0</v>
      </c>
      <c r="AD340">
        <f>+VLOOKUP(L340,Evalua!$G$2:$H$12,2,0)</f>
        <v>1</v>
      </c>
      <c r="AE340">
        <f>+VLOOKUP(M340,Evalua!$G$2:$H$12,2,0)</f>
        <v>2</v>
      </c>
    </row>
    <row r="341" spans="1:31" hidden="1" x14ac:dyDescent="0.2">
      <c r="A341" s="1" t="s">
        <v>1728</v>
      </c>
      <c r="B341" t="s">
        <v>184</v>
      </c>
      <c r="D341" t="s">
        <v>1996</v>
      </c>
      <c r="E341" t="s">
        <v>1993</v>
      </c>
      <c r="G341" t="s">
        <v>184</v>
      </c>
      <c r="H341" t="s">
        <v>153</v>
      </c>
      <c r="I341" t="s">
        <v>26</v>
      </c>
      <c r="J341" t="s">
        <v>39</v>
      </c>
      <c r="K341" t="s">
        <v>183</v>
      </c>
      <c r="L341" t="s">
        <v>28</v>
      </c>
      <c r="M341" t="s">
        <v>160</v>
      </c>
      <c r="N341" t="str">
        <f>+VLOOKUP(A341,[1]Buscador!$B:$E,4,0)</f>
        <v>Quevedo</v>
      </c>
      <c r="O341" t="str">
        <f>+VLOOKUP(A341,[1]Buscador!$B:$F,5,0)</f>
        <v>Los Ríos</v>
      </c>
      <c r="P341" t="s">
        <v>31</v>
      </c>
      <c r="Q341">
        <v>70</v>
      </c>
      <c r="R341">
        <v>11.9</v>
      </c>
      <c r="S341" t="s">
        <v>162</v>
      </c>
      <c r="T341" t="s">
        <v>83</v>
      </c>
      <c r="U341" t="s">
        <v>184</v>
      </c>
      <c r="V341" t="s">
        <v>153</v>
      </c>
      <c r="X341" t="s">
        <v>1729</v>
      </c>
      <c r="Z341" t="s">
        <v>1947</v>
      </c>
      <c r="AA341">
        <v>-1.0240457901493001</v>
      </c>
      <c r="AB341">
        <v>-79.465783077013</v>
      </c>
      <c r="AC341">
        <v>0</v>
      </c>
      <c r="AD341">
        <f>+VLOOKUP(L341,Evalua!$G$2:$H$12,2,0)</f>
        <v>1</v>
      </c>
      <c r="AE341">
        <f>+VLOOKUP(M341,Evalua!$G$2:$H$12,2,0)</f>
        <v>1</v>
      </c>
    </row>
    <row r="342" spans="1:31" hidden="1" x14ac:dyDescent="0.2">
      <c r="A342" s="1" t="s">
        <v>1820</v>
      </c>
      <c r="B342" t="s">
        <v>386</v>
      </c>
      <c r="D342" t="s">
        <v>2014</v>
      </c>
      <c r="E342" t="s">
        <v>2006</v>
      </c>
      <c r="G342" t="s">
        <v>386</v>
      </c>
      <c r="H342" t="s">
        <v>153</v>
      </c>
      <c r="I342" t="s">
        <v>26</v>
      </c>
      <c r="J342" t="s">
        <v>39</v>
      </c>
      <c r="K342" t="s">
        <v>46</v>
      </c>
      <c r="L342" t="s">
        <v>28</v>
      </c>
      <c r="M342" t="s">
        <v>29</v>
      </c>
      <c r="N342" t="str">
        <f>+VLOOKUP(A342,[1]Buscador!$B:$E,4,0)</f>
        <v>Samborondón</v>
      </c>
      <c r="O342" t="str">
        <f>+VLOOKUP(A342,[1]Buscador!$B:$F,5,0)</f>
        <v>Guayas</v>
      </c>
      <c r="P342" t="s">
        <v>31</v>
      </c>
      <c r="Q342">
        <v>750</v>
      </c>
      <c r="R342">
        <v>21.25</v>
      </c>
      <c r="S342" t="s">
        <v>32</v>
      </c>
      <c r="T342" t="s">
        <v>33</v>
      </c>
      <c r="U342" t="s">
        <v>386</v>
      </c>
      <c r="V342" t="s">
        <v>153</v>
      </c>
      <c r="X342" t="s">
        <v>1821</v>
      </c>
      <c r="Z342" t="s">
        <v>971</v>
      </c>
      <c r="AA342">
        <v>-2.1133265276055599</v>
      </c>
      <c r="AB342">
        <v>-79.870816069313094</v>
      </c>
      <c r="AC342">
        <v>0</v>
      </c>
      <c r="AD342">
        <f>+VLOOKUP(L342,Evalua!$G$2:$H$12,2,0)</f>
        <v>1</v>
      </c>
      <c r="AE342">
        <f>+VLOOKUP(M342,Evalua!$G$2:$H$12,2,0)</f>
        <v>2</v>
      </c>
    </row>
    <row r="343" spans="1:31" hidden="1" x14ac:dyDescent="0.2">
      <c r="A343" s="1" t="s">
        <v>1287</v>
      </c>
      <c r="B343" t="s">
        <v>1198</v>
      </c>
      <c r="D343" t="s">
        <v>2002</v>
      </c>
      <c r="E343" t="s">
        <v>1997</v>
      </c>
      <c r="G343" t="s">
        <v>1198</v>
      </c>
      <c r="H343" t="s">
        <v>153</v>
      </c>
      <c r="I343" t="s">
        <v>26</v>
      </c>
      <c r="J343" t="s">
        <v>39</v>
      </c>
      <c r="K343" t="s">
        <v>46</v>
      </c>
      <c r="L343" t="s">
        <v>28</v>
      </c>
      <c r="M343" t="s">
        <v>29</v>
      </c>
      <c r="N343" t="str">
        <f>+VLOOKUP(A343,[1]Buscador!$B:$E,4,0)</f>
        <v>Guayaquil</v>
      </c>
      <c r="O343" t="str">
        <f>+VLOOKUP(A343,[1]Buscador!$B:$F,5,0)</f>
        <v>Guayas</v>
      </c>
      <c r="P343" t="s">
        <v>31</v>
      </c>
      <c r="S343" t="s">
        <v>32</v>
      </c>
      <c r="T343" t="s">
        <v>33</v>
      </c>
      <c r="U343" t="s">
        <v>1198</v>
      </c>
      <c r="V343" t="s">
        <v>153</v>
      </c>
      <c r="W343" t="s">
        <v>1288</v>
      </c>
      <c r="X343" t="s">
        <v>1289</v>
      </c>
      <c r="Y343" t="s">
        <v>1290</v>
      </c>
      <c r="Z343" t="s">
        <v>1286</v>
      </c>
      <c r="AA343">
        <v>-2.1902053666999999</v>
      </c>
      <c r="AB343">
        <v>-79.942694741099999</v>
      </c>
      <c r="AC343">
        <v>0</v>
      </c>
      <c r="AD343">
        <f>+VLOOKUP(L343,Evalua!$G$2:$H$12,2,0)</f>
        <v>1</v>
      </c>
      <c r="AE343">
        <f>+VLOOKUP(M343,Evalua!$G$2:$H$12,2,0)</f>
        <v>2</v>
      </c>
    </row>
    <row r="344" spans="1:31" hidden="1" x14ac:dyDescent="0.2">
      <c r="A344" s="1" t="s">
        <v>1449</v>
      </c>
      <c r="B344" t="s">
        <v>1261</v>
      </c>
      <c r="D344" t="s">
        <v>2003</v>
      </c>
      <c r="E344" t="s">
        <v>2006</v>
      </c>
      <c r="G344" t="s">
        <v>1261</v>
      </c>
      <c r="H344" t="s">
        <v>153</v>
      </c>
      <c r="I344" t="s">
        <v>26</v>
      </c>
      <c r="J344" t="s">
        <v>64</v>
      </c>
      <c r="K344" t="s">
        <v>46</v>
      </c>
      <c r="L344" t="s">
        <v>28</v>
      </c>
      <c r="M344" t="s">
        <v>29</v>
      </c>
      <c r="N344" t="str">
        <f>+VLOOKUP(A344,[1]Buscador!$B:$E,4,0)</f>
        <v>Guayaquil</v>
      </c>
      <c r="O344" t="str">
        <f>+VLOOKUP(A344,[1]Buscador!$B:$F,5,0)</f>
        <v>Guayas</v>
      </c>
      <c r="P344" t="s">
        <v>31</v>
      </c>
      <c r="S344" t="s">
        <v>32</v>
      </c>
      <c r="T344" t="s">
        <v>33</v>
      </c>
      <c r="U344" t="s">
        <v>1261</v>
      </c>
      <c r="V344" t="s">
        <v>153</v>
      </c>
      <c r="W344" t="s">
        <v>184</v>
      </c>
      <c r="X344" t="s">
        <v>1450</v>
      </c>
      <c r="Y344" t="s">
        <v>1451</v>
      </c>
      <c r="Z344" t="s">
        <v>1448</v>
      </c>
      <c r="AA344">
        <v>-2.1276126974</v>
      </c>
      <c r="AB344">
        <v>-79.906743559500001</v>
      </c>
      <c r="AC344">
        <v>0</v>
      </c>
      <c r="AD344">
        <f>+VLOOKUP(L344,Evalua!$G$2:$H$12,2,0)</f>
        <v>1</v>
      </c>
      <c r="AE344">
        <f>+VLOOKUP(M344,Evalua!$G$2:$H$12,2,0)</f>
        <v>2</v>
      </c>
    </row>
    <row r="345" spans="1:31" hidden="1" x14ac:dyDescent="0.2">
      <c r="A345" s="1" t="s">
        <v>1837</v>
      </c>
      <c r="B345" t="s">
        <v>195</v>
      </c>
      <c r="G345" t="s">
        <v>195</v>
      </c>
      <c r="H345" t="s">
        <v>153</v>
      </c>
      <c r="I345" t="s">
        <v>26</v>
      </c>
      <c r="J345" t="s">
        <v>39</v>
      </c>
      <c r="K345" t="s">
        <v>194</v>
      </c>
      <c r="L345" t="s">
        <v>28</v>
      </c>
      <c r="M345" t="s">
        <v>234</v>
      </c>
      <c r="N345" t="str">
        <f>+VLOOKUP(A345,[1]Buscador!$B:$E,4,0)</f>
        <v>Santo Domingo de los Tsachilas</v>
      </c>
      <c r="O345" t="str">
        <f>+VLOOKUP(A345,[1]Buscador!$B:$F,5,0)</f>
        <v>Santo Domingo de los Tsáchilas</v>
      </c>
      <c r="P345" t="s">
        <v>31</v>
      </c>
      <c r="Q345">
        <v>30</v>
      </c>
      <c r="R345">
        <v>7.2857142857142856</v>
      </c>
      <c r="S345" t="s">
        <v>729</v>
      </c>
      <c r="T345" t="s">
        <v>730</v>
      </c>
      <c r="U345" t="s">
        <v>195</v>
      </c>
      <c r="V345" t="s">
        <v>153</v>
      </c>
      <c r="X345" t="s">
        <v>1838</v>
      </c>
      <c r="Z345" t="s">
        <v>1961</v>
      </c>
      <c r="AA345">
        <v>-0.25177914970624998</v>
      </c>
      <c r="AB345">
        <v>-79.164858575815003</v>
      </c>
      <c r="AC345">
        <v>0</v>
      </c>
      <c r="AD345">
        <f>+VLOOKUP(L345,Evalua!$G$2:$H$12,2,0)</f>
        <v>1</v>
      </c>
      <c r="AE345">
        <f>+VLOOKUP(M345,Evalua!$G$2:$H$12,2,0)</f>
        <v>3</v>
      </c>
    </row>
    <row r="346" spans="1:31" hidden="1" x14ac:dyDescent="0.2">
      <c r="A346" s="1" t="s">
        <v>1879</v>
      </c>
      <c r="B346" t="s">
        <v>1568</v>
      </c>
      <c r="D346" t="s">
        <v>2013</v>
      </c>
      <c r="E346" t="s">
        <v>2012</v>
      </c>
      <c r="G346" t="s">
        <v>1568</v>
      </c>
      <c r="H346" t="s">
        <v>153</v>
      </c>
      <c r="I346" t="s">
        <v>26</v>
      </c>
      <c r="J346" t="s">
        <v>64</v>
      </c>
      <c r="K346" t="s">
        <v>46</v>
      </c>
      <c r="L346" t="s">
        <v>81</v>
      </c>
      <c r="M346" t="s">
        <v>29</v>
      </c>
      <c r="N346" t="str">
        <f>+VLOOKUP(A346,[1]Buscador!$B:$E,4,0)</f>
        <v>Guayaquil</v>
      </c>
      <c r="O346" t="str">
        <f>+VLOOKUP(A346,[1]Buscador!$B:$F,5,0)</f>
        <v>Guayas</v>
      </c>
      <c r="P346" t="s">
        <v>31</v>
      </c>
      <c r="S346" t="s">
        <v>82</v>
      </c>
      <c r="T346" t="s">
        <v>83</v>
      </c>
      <c r="U346" t="s">
        <v>1568</v>
      </c>
      <c r="V346" t="s">
        <v>153</v>
      </c>
      <c r="X346" t="s">
        <v>1880</v>
      </c>
      <c r="Z346" t="s">
        <v>1967</v>
      </c>
      <c r="AA346">
        <v>-2.1000865084670299</v>
      </c>
      <c r="AB346">
        <v>-79.936061564144794</v>
      </c>
      <c r="AC346">
        <v>0</v>
      </c>
      <c r="AD346">
        <f>+VLOOKUP(L346,Evalua!$G$2:$H$12,2,0)</f>
        <v>3</v>
      </c>
      <c r="AE346">
        <f>+VLOOKUP(M346,Evalua!$G$2:$H$12,2,0)</f>
        <v>2</v>
      </c>
    </row>
    <row r="347" spans="1:31" hidden="1" x14ac:dyDescent="0.2">
      <c r="A347" s="1" t="s">
        <v>146</v>
      </c>
      <c r="B347" t="s">
        <v>94</v>
      </c>
      <c r="D347" t="s">
        <v>1990</v>
      </c>
      <c r="E347" t="s">
        <v>2000</v>
      </c>
      <c r="G347" t="s">
        <v>94</v>
      </c>
      <c r="H347" t="s">
        <v>153</v>
      </c>
      <c r="I347" t="s">
        <v>26</v>
      </c>
      <c r="J347" t="s">
        <v>136</v>
      </c>
      <c r="K347" t="s">
        <v>46</v>
      </c>
      <c r="L347" t="s">
        <v>28</v>
      </c>
      <c r="M347" t="s">
        <v>29</v>
      </c>
      <c r="N347" t="str">
        <f>+VLOOKUP(A347,[1]Buscador!$B:$E,4,0)</f>
        <v>Guayaquil</v>
      </c>
      <c r="O347" t="str">
        <f>+VLOOKUP(A347,[1]Buscador!$B:$F,5,0)</f>
        <v>Guayas</v>
      </c>
      <c r="P347" t="s">
        <v>31</v>
      </c>
      <c r="S347" t="s">
        <v>32</v>
      </c>
      <c r="T347" t="s">
        <v>33</v>
      </c>
      <c r="U347" t="s">
        <v>94</v>
      </c>
      <c r="V347" t="s">
        <v>153</v>
      </c>
      <c r="W347" t="s">
        <v>147</v>
      </c>
      <c r="X347" t="s">
        <v>148</v>
      </c>
      <c r="Y347" t="s">
        <v>149</v>
      </c>
      <c r="Z347" t="s">
        <v>150</v>
      </c>
      <c r="AA347">
        <v>-2.1436198698000002</v>
      </c>
      <c r="AB347">
        <v>-79.914839904100006</v>
      </c>
      <c r="AC347">
        <v>0</v>
      </c>
      <c r="AD347">
        <f>+VLOOKUP(L347,Evalua!$G$2:$H$12,2,0)</f>
        <v>1</v>
      </c>
      <c r="AE347">
        <f>+VLOOKUP(M347,Evalua!$G$2:$H$12,2,0)</f>
        <v>2</v>
      </c>
    </row>
    <row r="348" spans="1:31" hidden="1" x14ac:dyDescent="0.2">
      <c r="A348" s="1" t="s">
        <v>205</v>
      </c>
      <c r="B348" t="s">
        <v>137</v>
      </c>
      <c r="D348" t="s">
        <v>1996</v>
      </c>
      <c r="E348" t="s">
        <v>1997</v>
      </c>
      <c r="G348" t="s">
        <v>137</v>
      </c>
      <c r="H348" t="s">
        <v>153</v>
      </c>
      <c r="I348" t="s">
        <v>26</v>
      </c>
      <c r="J348" t="s">
        <v>136</v>
      </c>
      <c r="K348" t="s">
        <v>206</v>
      </c>
      <c r="L348" t="s">
        <v>81</v>
      </c>
      <c r="M348" t="s">
        <v>160</v>
      </c>
      <c r="N348" t="str">
        <f>+VLOOKUP(A348,[1]Buscador!$B:$E,4,0)</f>
        <v>Machala</v>
      </c>
      <c r="O348" t="str">
        <f>+VLOOKUP(A348,[1]Buscador!$B:$F,5,0)</f>
        <v>El Oro</v>
      </c>
      <c r="P348" t="s">
        <v>31</v>
      </c>
      <c r="S348" t="s">
        <v>208</v>
      </c>
      <c r="T348" t="s">
        <v>126</v>
      </c>
      <c r="U348" t="s">
        <v>137</v>
      </c>
      <c r="V348" t="s">
        <v>153</v>
      </c>
      <c r="W348" t="s">
        <v>209</v>
      </c>
      <c r="X348" t="s">
        <v>210</v>
      </c>
      <c r="Y348" t="s">
        <v>211</v>
      </c>
      <c r="Z348" t="s">
        <v>212</v>
      </c>
      <c r="AA348">
        <v>-3.274044</v>
      </c>
      <c r="AB348">
        <v>-79.935957000000002</v>
      </c>
      <c r="AC348">
        <v>0</v>
      </c>
      <c r="AD348">
        <f>+VLOOKUP(L348,Evalua!$G$2:$H$12,2,0)</f>
        <v>3</v>
      </c>
      <c r="AE348">
        <f>+VLOOKUP(M348,Evalua!$G$2:$H$12,2,0)</f>
        <v>1</v>
      </c>
    </row>
    <row r="349" spans="1:31" hidden="1" x14ac:dyDescent="0.2">
      <c r="A349" s="1" t="s">
        <v>1592</v>
      </c>
      <c r="B349" t="s">
        <v>1345</v>
      </c>
      <c r="D349" t="s">
        <v>1994</v>
      </c>
      <c r="E349" t="s">
        <v>1997</v>
      </c>
      <c r="G349" t="s">
        <v>1345</v>
      </c>
      <c r="H349" t="s">
        <v>153</v>
      </c>
      <c r="I349" t="s">
        <v>26</v>
      </c>
      <c r="J349" t="s">
        <v>39</v>
      </c>
      <c r="K349" t="s">
        <v>206</v>
      </c>
      <c r="L349" t="s">
        <v>1392</v>
      </c>
      <c r="M349" t="s">
        <v>234</v>
      </c>
      <c r="N349" t="str">
        <f>+VLOOKUP(A349,[1]Buscador!$B:$E,4,0)</f>
        <v>Machala</v>
      </c>
      <c r="O349" t="str">
        <f>+VLOOKUP(A349,[1]Buscador!$B:$F,5,0)</f>
        <v>El Oro</v>
      </c>
      <c r="P349" t="s">
        <v>31</v>
      </c>
      <c r="Q349">
        <v>50</v>
      </c>
      <c r="R349">
        <v>10.625</v>
      </c>
      <c r="S349" t="s">
        <v>1581</v>
      </c>
      <c r="T349" t="s">
        <v>730</v>
      </c>
      <c r="U349" t="s">
        <v>1345</v>
      </c>
      <c r="V349" t="s">
        <v>153</v>
      </c>
      <c r="X349" t="s">
        <v>1593</v>
      </c>
      <c r="Z349" t="s">
        <v>1928</v>
      </c>
      <c r="AA349">
        <v>-3.2603292549264</v>
      </c>
      <c r="AB349">
        <v>-79.959522265011998</v>
      </c>
      <c r="AC349">
        <v>0</v>
      </c>
      <c r="AD349">
        <f>+VLOOKUP(L349,Evalua!$G$2:$H$12,2,0)</f>
        <v>2</v>
      </c>
      <c r="AE349">
        <f>+VLOOKUP(M349,Evalua!$G$2:$H$12,2,0)</f>
        <v>3</v>
      </c>
    </row>
    <row r="350" spans="1:31" hidden="1" x14ac:dyDescent="0.2">
      <c r="A350" s="1" t="s">
        <v>189</v>
      </c>
      <c r="B350" t="s">
        <v>117</v>
      </c>
      <c r="D350" t="s">
        <v>1990</v>
      </c>
      <c r="E350" t="s">
        <v>1993</v>
      </c>
      <c r="F350" t="s">
        <v>1988</v>
      </c>
      <c r="G350" t="s">
        <v>117</v>
      </c>
      <c r="H350" t="s">
        <v>153</v>
      </c>
      <c r="I350" t="s">
        <v>26</v>
      </c>
      <c r="J350" t="s">
        <v>136</v>
      </c>
      <c r="K350" t="s">
        <v>183</v>
      </c>
      <c r="L350" t="s">
        <v>28</v>
      </c>
      <c r="M350" t="s">
        <v>160</v>
      </c>
      <c r="N350" t="str">
        <f>+VLOOKUP(A350,[1]Buscador!$B:$E,4,0)</f>
        <v>Quevedo</v>
      </c>
      <c r="O350" t="str">
        <f>+VLOOKUP(A350,[1]Buscador!$B:$F,5,0)</f>
        <v>Los Ríos</v>
      </c>
      <c r="P350" t="s">
        <v>31</v>
      </c>
      <c r="S350" t="s">
        <v>162</v>
      </c>
      <c r="T350" t="s">
        <v>83</v>
      </c>
      <c r="U350" t="s">
        <v>117</v>
      </c>
      <c r="V350" t="s">
        <v>153</v>
      </c>
      <c r="W350" t="s">
        <v>190</v>
      </c>
      <c r="X350" t="s">
        <v>191</v>
      </c>
      <c r="Y350" t="s">
        <v>192</v>
      </c>
      <c r="Z350" t="s">
        <v>188</v>
      </c>
      <c r="AA350">
        <v>-0.97912999999999994</v>
      </c>
      <c r="AB350">
        <v>-79.440004000000002</v>
      </c>
      <c r="AC350">
        <v>0</v>
      </c>
      <c r="AD350">
        <f>+VLOOKUP(L350,Evalua!$G$2:$H$12,2,0)</f>
        <v>1</v>
      </c>
      <c r="AE350">
        <f>+VLOOKUP(M350,Evalua!$G$2:$H$12,2,0)</f>
        <v>1</v>
      </c>
    </row>
    <row r="351" spans="1:31" hidden="1" x14ac:dyDescent="0.2">
      <c r="A351" s="1" t="s">
        <v>193</v>
      </c>
      <c r="B351" t="s">
        <v>127</v>
      </c>
      <c r="G351" t="s">
        <v>127</v>
      </c>
      <c r="H351" t="s">
        <v>153</v>
      </c>
      <c r="I351" t="s">
        <v>26</v>
      </c>
      <c r="J351" t="s">
        <v>136</v>
      </c>
      <c r="K351" t="s">
        <v>194</v>
      </c>
      <c r="L351" t="s">
        <v>28</v>
      </c>
      <c r="M351" t="s">
        <v>160</v>
      </c>
      <c r="N351" t="str">
        <f>+VLOOKUP(A351,[1]Buscador!$B:$E,4,0)</f>
        <v>Santo Domingo de los Tsachilas</v>
      </c>
      <c r="O351" t="str">
        <f>+VLOOKUP(A351,[1]Buscador!$B:$F,5,0)</f>
        <v>Santo Domingo de los Tsáchilas</v>
      </c>
      <c r="P351" t="s">
        <v>31</v>
      </c>
      <c r="S351" t="s">
        <v>162</v>
      </c>
      <c r="T351" t="s">
        <v>83</v>
      </c>
      <c r="U351" t="s">
        <v>127</v>
      </c>
      <c r="V351" t="s">
        <v>153</v>
      </c>
      <c r="W351" t="s">
        <v>196</v>
      </c>
      <c r="X351" t="s">
        <v>197</v>
      </c>
      <c r="Y351" t="s">
        <v>198</v>
      </c>
      <c r="Z351" t="s">
        <v>199</v>
      </c>
      <c r="AA351">
        <v>-0.25710976050000001</v>
      </c>
      <c r="AB351">
        <v>-79.204541208099997</v>
      </c>
      <c r="AC351">
        <v>0</v>
      </c>
      <c r="AD351">
        <f>+VLOOKUP(L351,Evalua!$G$2:$H$12,2,0)</f>
        <v>1</v>
      </c>
      <c r="AE351">
        <f>+VLOOKUP(M351,Evalua!$G$2:$H$12,2,0)</f>
        <v>1</v>
      </c>
    </row>
    <row r="352" spans="1:31" hidden="1" x14ac:dyDescent="0.2">
      <c r="A352" s="1" t="s">
        <v>1583</v>
      </c>
      <c r="B352" t="s">
        <v>207</v>
      </c>
      <c r="D352" t="s">
        <v>1995</v>
      </c>
      <c r="E352" t="s">
        <v>1997</v>
      </c>
      <c r="G352" t="s">
        <v>1580</v>
      </c>
      <c r="H352" t="s">
        <v>153</v>
      </c>
      <c r="I352" t="s">
        <v>26</v>
      </c>
      <c r="J352" t="s">
        <v>39</v>
      </c>
      <c r="K352" t="s">
        <v>206</v>
      </c>
      <c r="L352" t="s">
        <v>1392</v>
      </c>
      <c r="M352" t="s">
        <v>234</v>
      </c>
      <c r="N352" t="str">
        <f>+VLOOKUP(A352,[1]Buscador!$B:$E,4,0)</f>
        <v>Machala</v>
      </c>
      <c r="O352" t="str">
        <f>+VLOOKUP(A352,[1]Buscador!$B:$F,5,0)</f>
        <v>El Oro</v>
      </c>
      <c r="P352" t="s">
        <v>31</v>
      </c>
      <c r="Q352">
        <v>100</v>
      </c>
      <c r="R352">
        <v>8.5</v>
      </c>
      <c r="S352" t="s">
        <v>1581</v>
      </c>
      <c r="T352" t="s">
        <v>730</v>
      </c>
      <c r="U352" t="s">
        <v>207</v>
      </c>
      <c r="V352" t="s">
        <v>153</v>
      </c>
      <c r="X352" t="s">
        <v>1584</v>
      </c>
      <c r="Z352" t="s">
        <v>1927</v>
      </c>
      <c r="AA352">
        <v>-3.2791119581546</v>
      </c>
      <c r="AB352">
        <v>-79.933491846032993</v>
      </c>
      <c r="AC352">
        <v>0</v>
      </c>
      <c r="AD352">
        <f>+VLOOKUP(L352,Evalua!$G$2:$H$12,2,0)</f>
        <v>2</v>
      </c>
      <c r="AE352">
        <f>+VLOOKUP(M352,Evalua!$G$2:$H$12,2,0)</f>
        <v>3</v>
      </c>
    </row>
    <row r="353" spans="1:31" hidden="1" x14ac:dyDescent="0.2">
      <c r="A353" s="1" t="s">
        <v>1574</v>
      </c>
      <c r="B353" t="s">
        <v>1331</v>
      </c>
      <c r="D353" t="s">
        <v>1996</v>
      </c>
      <c r="E353" t="s">
        <v>1997</v>
      </c>
      <c r="G353" t="s">
        <v>1331</v>
      </c>
      <c r="H353" t="s">
        <v>153</v>
      </c>
      <c r="I353" t="s">
        <v>26</v>
      </c>
      <c r="J353" t="s">
        <v>136</v>
      </c>
      <c r="K353" t="s">
        <v>46</v>
      </c>
      <c r="L353" t="s">
        <v>28</v>
      </c>
      <c r="M353" t="s">
        <v>29</v>
      </c>
      <c r="N353" t="str">
        <f>+VLOOKUP(A353,[1]Buscador!$B:$E,4,0)</f>
        <v>Guayaquil</v>
      </c>
      <c r="O353" t="str">
        <f>+VLOOKUP(A353,[1]Buscador!$B:$F,5,0)</f>
        <v>Guayas</v>
      </c>
      <c r="P353" t="s">
        <v>31</v>
      </c>
      <c r="S353" t="s">
        <v>32</v>
      </c>
      <c r="T353" t="s">
        <v>33</v>
      </c>
      <c r="U353" t="s">
        <v>1331</v>
      </c>
      <c r="V353" t="s">
        <v>153</v>
      </c>
      <c r="X353" t="s">
        <v>1575</v>
      </c>
      <c r="Z353" t="s">
        <v>1925</v>
      </c>
      <c r="AA353">
        <v>-2.1625162274386001</v>
      </c>
      <c r="AB353">
        <v>-79.892682835393998</v>
      </c>
      <c r="AC353">
        <v>0</v>
      </c>
      <c r="AD353">
        <f>+VLOOKUP(L353,Evalua!$G$2:$H$12,2,0)</f>
        <v>1</v>
      </c>
      <c r="AE353">
        <f>+VLOOKUP(M353,Evalua!$G$2:$H$12,2,0)</f>
        <v>2</v>
      </c>
    </row>
    <row r="354" spans="1:31" hidden="1" x14ac:dyDescent="0.2">
      <c r="A354" s="1" t="s">
        <v>1567</v>
      </c>
      <c r="B354" t="s">
        <v>1321</v>
      </c>
      <c r="D354" t="s">
        <v>2002</v>
      </c>
      <c r="E354" t="s">
        <v>1998</v>
      </c>
      <c r="G354" t="s">
        <v>1321</v>
      </c>
      <c r="H354" t="s">
        <v>153</v>
      </c>
      <c r="I354" t="s">
        <v>26</v>
      </c>
      <c r="J354" t="s">
        <v>136</v>
      </c>
      <c r="K354" t="s">
        <v>170</v>
      </c>
      <c r="L354" t="s">
        <v>81</v>
      </c>
      <c r="M354" t="s">
        <v>29</v>
      </c>
      <c r="N354" t="str">
        <f>+VLOOKUP(A354,[1]Buscador!$B:$E,4,0)</f>
        <v>Manta</v>
      </c>
      <c r="O354" t="str">
        <f>+VLOOKUP(A354,[1]Buscador!$B:$F,5,0)</f>
        <v>Manabí</v>
      </c>
      <c r="P354" t="s">
        <v>153</v>
      </c>
      <c r="S354" t="s">
        <v>82</v>
      </c>
      <c r="T354" t="s">
        <v>83</v>
      </c>
      <c r="U354" t="s">
        <v>1321</v>
      </c>
      <c r="V354" t="s">
        <v>153</v>
      </c>
      <c r="W354" t="s">
        <v>1568</v>
      </c>
      <c r="X354" t="s">
        <v>1569</v>
      </c>
      <c r="Y354" t="s">
        <v>1570</v>
      </c>
      <c r="Z354" t="s">
        <v>1571</v>
      </c>
      <c r="AA354">
        <v>-0.94655</v>
      </c>
      <c r="AB354">
        <v>-80.722707</v>
      </c>
      <c r="AC354">
        <v>0</v>
      </c>
      <c r="AD354">
        <f>+VLOOKUP(L354,Evalua!$G$2:$H$12,2,0)</f>
        <v>3</v>
      </c>
      <c r="AE354">
        <f>+VLOOKUP(M354,Evalua!$G$2:$H$12,2,0)</f>
        <v>2</v>
      </c>
    </row>
    <row r="355" spans="1:31" hidden="1" x14ac:dyDescent="0.2">
      <c r="A355" s="1" t="s">
        <v>1576</v>
      </c>
      <c r="B355" t="s">
        <v>1336</v>
      </c>
      <c r="D355" t="s">
        <v>1996</v>
      </c>
      <c r="E355" t="s">
        <v>2009</v>
      </c>
      <c r="G355" t="s">
        <v>1336</v>
      </c>
      <c r="H355" t="s">
        <v>153</v>
      </c>
      <c r="I355" t="s">
        <v>26</v>
      </c>
      <c r="J355" t="s">
        <v>136</v>
      </c>
      <c r="K355" t="s">
        <v>46</v>
      </c>
      <c r="L355" t="s">
        <v>28</v>
      </c>
      <c r="M355" t="s">
        <v>29</v>
      </c>
      <c r="N355" t="str">
        <f>+VLOOKUP(A355,[1]Buscador!$B:$E,4,0)</f>
        <v>Guayaquil</v>
      </c>
      <c r="O355" t="str">
        <f>+VLOOKUP(A355,[1]Buscador!$B:$F,5,0)</f>
        <v>Guayas</v>
      </c>
      <c r="P355" t="s">
        <v>31</v>
      </c>
      <c r="S355" t="s">
        <v>32</v>
      </c>
      <c r="T355" t="s">
        <v>33</v>
      </c>
      <c r="U355" t="s">
        <v>1336</v>
      </c>
      <c r="V355" t="s">
        <v>153</v>
      </c>
      <c r="X355" t="s">
        <v>1577</v>
      </c>
      <c r="Z355" t="s">
        <v>1926</v>
      </c>
      <c r="AA355">
        <v>-2.192288</v>
      </c>
      <c r="AB355">
        <v>-79.881484</v>
      </c>
      <c r="AC355">
        <v>0</v>
      </c>
      <c r="AD355">
        <f>+VLOOKUP(L355,Evalua!$G$2:$H$12,2,0)</f>
        <v>1</v>
      </c>
      <c r="AE355">
        <f>+VLOOKUP(M355,Evalua!$G$2:$H$12,2,0)</f>
        <v>2</v>
      </c>
    </row>
    <row r="356" spans="1:31" hidden="1" x14ac:dyDescent="0.2">
      <c r="A356" s="1" t="s">
        <v>1480</v>
      </c>
      <c r="B356" t="s">
        <v>1277</v>
      </c>
      <c r="D356" t="s">
        <v>2002</v>
      </c>
      <c r="E356" t="s">
        <v>1997</v>
      </c>
      <c r="G356" t="s">
        <v>1277</v>
      </c>
      <c r="H356" t="s">
        <v>153</v>
      </c>
      <c r="I356" t="s">
        <v>26</v>
      </c>
      <c r="J356" t="s">
        <v>136</v>
      </c>
      <c r="K356" t="s">
        <v>46</v>
      </c>
      <c r="L356" t="s">
        <v>28</v>
      </c>
      <c r="M356" t="s">
        <v>29</v>
      </c>
      <c r="N356" t="str">
        <f>+VLOOKUP(A356,[1]Buscador!$B:$E,4,0)</f>
        <v>Guayaquil</v>
      </c>
      <c r="O356" t="str">
        <f>+VLOOKUP(A356,[1]Buscador!$B:$F,5,0)</f>
        <v>Guayas</v>
      </c>
      <c r="P356" t="s">
        <v>31</v>
      </c>
      <c r="S356" t="s">
        <v>32</v>
      </c>
      <c r="T356" t="s">
        <v>33</v>
      </c>
      <c r="U356" t="s">
        <v>1277</v>
      </c>
      <c r="V356" t="s">
        <v>153</v>
      </c>
      <c r="W356" t="s">
        <v>1481</v>
      </c>
      <c r="X356" t="s">
        <v>1482</v>
      </c>
      <c r="Y356" t="s">
        <v>1483</v>
      </c>
      <c r="Z356" t="s">
        <v>1479</v>
      </c>
      <c r="AA356">
        <v>-2.1782731905000001</v>
      </c>
      <c r="AB356">
        <v>-79.884292520200006</v>
      </c>
      <c r="AC356">
        <v>0</v>
      </c>
      <c r="AD356">
        <f>+VLOOKUP(L356,Evalua!$G$2:$H$12,2,0)</f>
        <v>1</v>
      </c>
      <c r="AE356">
        <f>+VLOOKUP(M356,Evalua!$G$2:$H$12,2,0)</f>
        <v>2</v>
      </c>
    </row>
    <row r="357" spans="1:31" hidden="1" x14ac:dyDescent="0.2">
      <c r="A357" s="1" t="s">
        <v>1656</v>
      </c>
      <c r="B357" s="3" t="s">
        <v>304</v>
      </c>
      <c r="C357" s="3"/>
      <c r="D357" t="s">
        <v>2011</v>
      </c>
      <c r="E357" t="s">
        <v>1998</v>
      </c>
      <c r="G357" t="s">
        <v>304</v>
      </c>
      <c r="H357" t="s">
        <v>1970</v>
      </c>
      <c r="I357" t="s">
        <v>26</v>
      </c>
      <c r="J357" t="s">
        <v>39</v>
      </c>
      <c r="K357" t="s">
        <v>46</v>
      </c>
      <c r="L357" t="s">
        <v>123</v>
      </c>
      <c r="M357" t="s">
        <v>29</v>
      </c>
      <c r="N357" t="str">
        <f>+VLOOKUP(A357,[1]Buscador!$B:$E,4,0)</f>
        <v>Milagro</v>
      </c>
      <c r="O357" t="str">
        <f>+VLOOKUP(A357,[1]Buscador!$B:$F,5,0)</f>
        <v>Guayas</v>
      </c>
      <c r="P357" t="s">
        <v>31</v>
      </c>
      <c r="Q357">
        <v>20</v>
      </c>
      <c r="R357">
        <v>6.8</v>
      </c>
      <c r="S357" t="s">
        <v>125</v>
      </c>
      <c r="T357" t="s">
        <v>126</v>
      </c>
      <c r="U357" t="s">
        <v>304</v>
      </c>
      <c r="V357" t="s">
        <v>153</v>
      </c>
      <c r="X357" t="s">
        <v>1657</v>
      </c>
      <c r="Z357" t="s">
        <v>1936</v>
      </c>
      <c r="AA357">
        <v>-2.1288529999999999</v>
      </c>
      <c r="AB357">
        <v>-79.591199000000003</v>
      </c>
      <c r="AC357">
        <v>0</v>
      </c>
      <c r="AD357">
        <f>+VLOOKUP(L357,Evalua!$G$2:$H$12,2,0)</f>
        <v>4</v>
      </c>
      <c r="AE357">
        <f>+VLOOKUP(M357,Evalua!$G$2:$H$12,2,0)</f>
        <v>2</v>
      </c>
    </row>
    <row r="358" spans="1:31" hidden="1" x14ac:dyDescent="0.2">
      <c r="A358" s="1" t="s">
        <v>1861</v>
      </c>
      <c r="B358" t="s">
        <v>1549</v>
      </c>
      <c r="D358" t="s">
        <v>1996</v>
      </c>
      <c r="E358" t="s">
        <v>1997</v>
      </c>
      <c r="G358" t="s">
        <v>1549</v>
      </c>
      <c r="H358" t="s">
        <v>153</v>
      </c>
      <c r="I358" t="s">
        <v>26</v>
      </c>
      <c r="J358" t="s">
        <v>136</v>
      </c>
      <c r="K358" t="s">
        <v>46</v>
      </c>
      <c r="L358" t="s">
        <v>28</v>
      </c>
      <c r="M358" t="s">
        <v>29</v>
      </c>
      <c r="N358" t="str">
        <f>+VLOOKUP(A358,[1]Buscador!$B:$E,4,0)</f>
        <v>Guayaquil</v>
      </c>
      <c r="O358" t="str">
        <f>+VLOOKUP(A358,[1]Buscador!$B:$F,5,0)</f>
        <v>Guayas</v>
      </c>
      <c r="P358" t="s">
        <v>31</v>
      </c>
      <c r="S358" t="s">
        <v>32</v>
      </c>
      <c r="T358" t="s">
        <v>33</v>
      </c>
      <c r="U358" t="s">
        <v>1549</v>
      </c>
      <c r="V358" t="s">
        <v>153</v>
      </c>
      <c r="X358" t="s">
        <v>1862</v>
      </c>
      <c r="Z358" t="s">
        <v>1964</v>
      </c>
      <c r="AA358">
        <v>-2.0652925839496001</v>
      </c>
      <c r="AB358">
        <v>-79.924221892204002</v>
      </c>
      <c r="AC358">
        <v>0</v>
      </c>
      <c r="AD358">
        <f>+VLOOKUP(L358,Evalua!$G$2:$H$12,2,0)</f>
        <v>1</v>
      </c>
      <c r="AE358">
        <f>+VLOOKUP(M358,Evalua!$G$2:$H$12,2,0)</f>
        <v>2</v>
      </c>
    </row>
    <row r="359" spans="1:31" hidden="1" x14ac:dyDescent="0.2">
      <c r="A359" s="1" t="s">
        <v>1863</v>
      </c>
      <c r="B359" t="s">
        <v>1554</v>
      </c>
      <c r="D359" t="s">
        <v>1990</v>
      </c>
      <c r="E359" t="s">
        <v>1997</v>
      </c>
      <c r="G359" t="s">
        <v>1554</v>
      </c>
      <c r="H359" t="s">
        <v>153</v>
      </c>
      <c r="I359" t="s">
        <v>26</v>
      </c>
      <c r="J359" t="s">
        <v>136</v>
      </c>
      <c r="K359" t="s">
        <v>46</v>
      </c>
      <c r="L359" t="s">
        <v>28</v>
      </c>
      <c r="M359" t="s">
        <v>29</v>
      </c>
      <c r="N359" t="str">
        <f>+VLOOKUP(A359,[1]Buscador!$B:$E,4,0)</f>
        <v>Samborondón</v>
      </c>
      <c r="O359" t="str">
        <f>+VLOOKUP(A359,[1]Buscador!$B:$F,5,0)</f>
        <v>Guayas</v>
      </c>
      <c r="P359" t="s">
        <v>153</v>
      </c>
      <c r="S359" t="s">
        <v>32</v>
      </c>
      <c r="T359" t="s">
        <v>33</v>
      </c>
      <c r="U359" t="s">
        <v>1554</v>
      </c>
      <c r="V359" t="s">
        <v>153</v>
      </c>
      <c r="X359" t="s">
        <v>1864</v>
      </c>
      <c r="Z359" t="s">
        <v>1965</v>
      </c>
      <c r="AA359">
        <v>-2.1325069999999999</v>
      </c>
      <c r="AB359">
        <v>-79.865438999999995</v>
      </c>
      <c r="AC359">
        <v>0</v>
      </c>
      <c r="AD359">
        <f>+VLOOKUP(L359,Evalua!$G$2:$H$12,2,0)</f>
        <v>1</v>
      </c>
      <c r="AE359">
        <f>+VLOOKUP(M359,Evalua!$G$2:$H$12,2,0)</f>
        <v>2</v>
      </c>
    </row>
    <row r="360" spans="1:31" hidden="1" x14ac:dyDescent="0.2">
      <c r="A360" s="1" t="s">
        <v>63</v>
      </c>
      <c r="B360" t="s">
        <v>48</v>
      </c>
      <c r="D360" t="s">
        <v>1990</v>
      </c>
      <c r="E360" t="s">
        <v>1997</v>
      </c>
      <c r="G360" t="s">
        <v>48</v>
      </c>
      <c r="H360" t="s">
        <v>153</v>
      </c>
      <c r="I360" t="s">
        <v>26</v>
      </c>
      <c r="J360" t="s">
        <v>64</v>
      </c>
      <c r="K360" t="s">
        <v>46</v>
      </c>
      <c r="L360" t="s">
        <v>28</v>
      </c>
      <c r="M360" t="s">
        <v>29</v>
      </c>
      <c r="N360" t="str">
        <f>+VLOOKUP(A360,[1]Buscador!$B:$E,4,0)</f>
        <v>Guayaquil</v>
      </c>
      <c r="O360" t="str">
        <f>+VLOOKUP(A360,[1]Buscador!$B:$F,5,0)</f>
        <v>Guayas</v>
      </c>
      <c r="P360" t="s">
        <v>31</v>
      </c>
      <c r="S360" t="s">
        <v>32</v>
      </c>
      <c r="T360" t="s">
        <v>33</v>
      </c>
      <c r="U360" t="s">
        <v>48</v>
      </c>
      <c r="V360" t="s">
        <v>153</v>
      </c>
      <c r="W360" t="s">
        <v>65</v>
      </c>
      <c r="X360" t="s">
        <v>66</v>
      </c>
      <c r="Y360" t="s">
        <v>67</v>
      </c>
      <c r="Z360" t="s">
        <v>62</v>
      </c>
      <c r="AA360">
        <v>-2.1527181153999999</v>
      </c>
      <c r="AB360">
        <v>-79.885611603100003</v>
      </c>
      <c r="AC360">
        <v>0</v>
      </c>
      <c r="AD360">
        <f>+VLOOKUP(L360,Evalua!$G$2:$H$12,2,0)</f>
        <v>1</v>
      </c>
      <c r="AE360">
        <f>+VLOOKUP(M360,Evalua!$G$2:$H$12,2,0)</f>
        <v>2</v>
      </c>
    </row>
    <row r="361" spans="1:31" hidden="1" x14ac:dyDescent="0.2">
      <c r="A361" s="1" t="s">
        <v>74</v>
      </c>
      <c r="B361" t="s">
        <v>53</v>
      </c>
      <c r="D361" t="s">
        <v>1990</v>
      </c>
      <c r="E361" t="s">
        <v>1997</v>
      </c>
      <c r="G361" t="s">
        <v>53</v>
      </c>
      <c r="H361" t="s">
        <v>153</v>
      </c>
      <c r="I361" t="s">
        <v>26</v>
      </c>
      <c r="J361" t="s">
        <v>64</v>
      </c>
      <c r="K361" t="s">
        <v>46</v>
      </c>
      <c r="L361" t="s">
        <v>28</v>
      </c>
      <c r="M361" t="s">
        <v>29</v>
      </c>
      <c r="N361" t="str">
        <f>+VLOOKUP(A361,[1]Buscador!$B:$E,4,0)</f>
        <v>Guayaquil</v>
      </c>
      <c r="O361" t="str">
        <f>+VLOOKUP(A361,[1]Buscador!$B:$F,5,0)</f>
        <v>Guayas</v>
      </c>
      <c r="P361" t="s">
        <v>31</v>
      </c>
      <c r="S361" t="s">
        <v>32</v>
      </c>
      <c r="T361" t="s">
        <v>33</v>
      </c>
      <c r="U361" t="s">
        <v>53</v>
      </c>
      <c r="V361" t="s">
        <v>153</v>
      </c>
      <c r="W361" t="s">
        <v>75</v>
      </c>
      <c r="X361" t="s">
        <v>76</v>
      </c>
      <c r="Y361" t="s">
        <v>77</v>
      </c>
      <c r="Z361" t="s">
        <v>73</v>
      </c>
      <c r="AA361">
        <v>-2.1479507455000002</v>
      </c>
      <c r="AB361">
        <v>-79.884499354499994</v>
      </c>
      <c r="AC361">
        <v>0</v>
      </c>
      <c r="AD361">
        <f>+VLOOKUP(L361,Evalua!$G$2:$H$12,2,0)</f>
        <v>1</v>
      </c>
      <c r="AE361">
        <f>+VLOOKUP(M361,Evalua!$G$2:$H$12,2,0)</f>
        <v>2</v>
      </c>
    </row>
    <row r="362" spans="1:31" hidden="1" x14ac:dyDescent="0.2">
      <c r="A362" s="1" t="s">
        <v>1339</v>
      </c>
      <c r="B362" t="s">
        <v>1208</v>
      </c>
      <c r="D362" t="s">
        <v>2002</v>
      </c>
      <c r="E362" t="s">
        <v>2001</v>
      </c>
      <c r="G362" t="s">
        <v>1208</v>
      </c>
      <c r="H362" t="s">
        <v>153</v>
      </c>
      <c r="I362" t="s">
        <v>26</v>
      </c>
      <c r="J362" t="s">
        <v>64</v>
      </c>
      <c r="K362" t="s">
        <v>46</v>
      </c>
      <c r="L362" t="s">
        <v>28</v>
      </c>
      <c r="M362" t="s">
        <v>29</v>
      </c>
      <c r="N362" t="str">
        <f>+VLOOKUP(A362,[1]Buscador!$B:$E,4,0)</f>
        <v>Guayaquil</v>
      </c>
      <c r="O362" t="str">
        <f>+VLOOKUP(A362,[1]Buscador!$B:$F,5,0)</f>
        <v>Guayas</v>
      </c>
      <c r="P362" t="s">
        <v>31</v>
      </c>
      <c r="S362" t="s">
        <v>32</v>
      </c>
      <c r="T362" t="s">
        <v>33</v>
      </c>
      <c r="U362" t="s">
        <v>1208</v>
      </c>
      <c r="V362" t="s">
        <v>153</v>
      </c>
      <c r="W362" t="s">
        <v>207</v>
      </c>
      <c r="X362" t="s">
        <v>1340</v>
      </c>
      <c r="Y362" t="s">
        <v>1341</v>
      </c>
      <c r="Z362" t="s">
        <v>1313</v>
      </c>
      <c r="AA362">
        <v>-2.1901574203999998</v>
      </c>
      <c r="AB362">
        <v>-79.879891601500006</v>
      </c>
      <c r="AC362">
        <v>0</v>
      </c>
      <c r="AD362">
        <f>+VLOOKUP(L362,Evalua!$G$2:$H$12,2,0)</f>
        <v>1</v>
      </c>
      <c r="AE362">
        <f>+VLOOKUP(M362,Evalua!$G$2:$H$12,2,0)</f>
        <v>2</v>
      </c>
    </row>
    <row r="363" spans="1:31" hidden="1" x14ac:dyDescent="0.2">
      <c r="A363" s="1" t="s">
        <v>1349</v>
      </c>
      <c r="B363" t="s">
        <v>1213</v>
      </c>
      <c r="D363" t="s">
        <v>1996</v>
      </c>
      <c r="E363" t="s">
        <v>1997</v>
      </c>
      <c r="G363" t="s">
        <v>1213</v>
      </c>
      <c r="H363" t="s">
        <v>153</v>
      </c>
      <c r="I363" t="s">
        <v>26</v>
      </c>
      <c r="J363" t="s">
        <v>64</v>
      </c>
      <c r="K363" t="s">
        <v>46</v>
      </c>
      <c r="L363" t="s">
        <v>28</v>
      </c>
      <c r="M363" t="s">
        <v>29</v>
      </c>
      <c r="N363" t="str">
        <f>+VLOOKUP(A363,[1]Buscador!$B:$E,4,0)</f>
        <v>Guayaquil</v>
      </c>
      <c r="O363" t="str">
        <f>+VLOOKUP(A363,[1]Buscador!$B:$F,5,0)</f>
        <v>Guayas</v>
      </c>
      <c r="P363" t="s">
        <v>31</v>
      </c>
      <c r="S363" t="s">
        <v>32</v>
      </c>
      <c r="T363" t="s">
        <v>33</v>
      </c>
      <c r="U363" t="s">
        <v>1213</v>
      </c>
      <c r="V363" t="s">
        <v>153</v>
      </c>
      <c r="W363" t="s">
        <v>1350</v>
      </c>
      <c r="X363" t="s">
        <v>1351</v>
      </c>
      <c r="Y363" t="s">
        <v>1352</v>
      </c>
      <c r="Z363" t="s">
        <v>1348</v>
      </c>
      <c r="AA363">
        <v>-2.1502941296999998</v>
      </c>
      <c r="AB363">
        <v>-79.906397733199995</v>
      </c>
      <c r="AC363">
        <v>0</v>
      </c>
      <c r="AD363">
        <f>+VLOOKUP(L363,Evalua!$G$2:$H$12,2,0)</f>
        <v>1</v>
      </c>
      <c r="AE363">
        <f>+VLOOKUP(M363,Evalua!$G$2:$H$12,2,0)</f>
        <v>2</v>
      </c>
    </row>
    <row r="364" spans="1:31" hidden="1" x14ac:dyDescent="0.2">
      <c r="A364" s="1" t="s">
        <v>1397</v>
      </c>
      <c r="B364" t="s">
        <v>1240</v>
      </c>
      <c r="D364" t="s">
        <v>2002</v>
      </c>
      <c r="E364" t="s">
        <v>1997</v>
      </c>
      <c r="G364" t="s">
        <v>1240</v>
      </c>
      <c r="H364" t="s">
        <v>153</v>
      </c>
      <c r="I364" t="s">
        <v>26</v>
      </c>
      <c r="J364" t="s">
        <v>64</v>
      </c>
      <c r="K364" t="s">
        <v>46</v>
      </c>
      <c r="L364" t="s">
        <v>1392</v>
      </c>
      <c r="M364" t="s">
        <v>29</v>
      </c>
      <c r="N364" t="str">
        <f>+VLOOKUP(A364,[1]Buscador!$B:$E,4,0)</f>
        <v>Guayaquil</v>
      </c>
      <c r="O364" t="str">
        <f>+VLOOKUP(A364,[1]Buscador!$B:$F,5,0)</f>
        <v>Guayas</v>
      </c>
      <c r="P364" t="s">
        <v>31</v>
      </c>
      <c r="Q364">
        <v>10</v>
      </c>
      <c r="R364">
        <v>4.7222222222222223</v>
      </c>
      <c r="S364" t="s">
        <v>1393</v>
      </c>
      <c r="T364" t="s">
        <v>33</v>
      </c>
      <c r="U364" t="s">
        <v>1240</v>
      </c>
      <c r="V364" t="s">
        <v>153</v>
      </c>
      <c r="W364" t="s">
        <v>1398</v>
      </c>
      <c r="X364" t="s">
        <v>1399</v>
      </c>
      <c r="Y364" t="s">
        <v>1400</v>
      </c>
      <c r="Z364" t="s">
        <v>1396</v>
      </c>
      <c r="AA364">
        <v>-2.2261039999999999</v>
      </c>
      <c r="AB364">
        <v>-79.889968999999994</v>
      </c>
      <c r="AC364">
        <v>0</v>
      </c>
      <c r="AD364">
        <f>+VLOOKUP(L364,Evalua!$G$2:$H$12,2,0)</f>
        <v>2</v>
      </c>
      <c r="AE364">
        <f>+VLOOKUP(M364,Evalua!$G$2:$H$12,2,0)</f>
        <v>2</v>
      </c>
    </row>
    <row r="365" spans="1:31" hidden="1" x14ac:dyDescent="0.2">
      <c r="A365" s="1" t="s">
        <v>1469</v>
      </c>
      <c r="B365" t="s">
        <v>1272</v>
      </c>
      <c r="D365" t="s">
        <v>1990</v>
      </c>
      <c r="E365" t="s">
        <v>1997</v>
      </c>
      <c r="G365" t="s">
        <v>1272</v>
      </c>
      <c r="H365" t="s">
        <v>153</v>
      </c>
      <c r="I365" t="s">
        <v>26</v>
      </c>
      <c r="J365" t="s">
        <v>64</v>
      </c>
      <c r="K365" t="s">
        <v>46</v>
      </c>
      <c r="L365" t="s">
        <v>28</v>
      </c>
      <c r="M365" t="s">
        <v>29</v>
      </c>
      <c r="N365" t="str">
        <f>+VLOOKUP(A365,[1]Buscador!$B:$E,4,0)</f>
        <v>Guayaquil</v>
      </c>
      <c r="O365" t="str">
        <f>+VLOOKUP(A365,[1]Buscador!$B:$F,5,0)</f>
        <v>Guayas</v>
      </c>
      <c r="P365" t="s">
        <v>31</v>
      </c>
      <c r="S365" t="s">
        <v>32</v>
      </c>
      <c r="T365" t="s">
        <v>33</v>
      </c>
      <c r="U365" t="s">
        <v>1272</v>
      </c>
      <c r="V365" t="s">
        <v>153</v>
      </c>
      <c r="W365" t="s">
        <v>1470</v>
      </c>
      <c r="X365" t="s">
        <v>1471</v>
      </c>
      <c r="Y365" t="s">
        <v>1472</v>
      </c>
      <c r="Z365" t="s">
        <v>1468</v>
      </c>
      <c r="AA365">
        <v>-2.0928561683</v>
      </c>
      <c r="AB365">
        <v>-79.911859219600004</v>
      </c>
      <c r="AC365">
        <v>0</v>
      </c>
      <c r="AD365">
        <f>+VLOOKUP(L365,Evalua!$G$2:$H$12,2,0)</f>
        <v>1</v>
      </c>
      <c r="AE365">
        <f>+VLOOKUP(M365,Evalua!$G$2:$H$12,2,0)</f>
        <v>2</v>
      </c>
    </row>
    <row r="366" spans="1:31" hidden="1" x14ac:dyDescent="0.2">
      <c r="A366" s="1" t="s">
        <v>1658</v>
      </c>
      <c r="B366" s="3" t="s">
        <v>1112</v>
      </c>
      <c r="C366" s="3"/>
      <c r="D366" t="s">
        <v>2003</v>
      </c>
      <c r="E366" t="s">
        <v>1997</v>
      </c>
      <c r="G366" t="s">
        <v>1112</v>
      </c>
      <c r="H366" t="s">
        <v>1970</v>
      </c>
      <c r="I366" t="s">
        <v>26</v>
      </c>
      <c r="J366" t="s">
        <v>64</v>
      </c>
      <c r="K366" t="s">
        <v>46</v>
      </c>
      <c r="L366" t="s">
        <v>28</v>
      </c>
      <c r="M366" t="s">
        <v>29</v>
      </c>
      <c r="N366" t="str">
        <f>+VLOOKUP(A366,[1]Buscador!$B:$E,4,0)</f>
        <v>Montañita</v>
      </c>
      <c r="O366" t="str">
        <f>+VLOOKUP(A366,[1]Buscador!$B:$F,5,0)</f>
        <v>Santa Elena</v>
      </c>
      <c r="P366" t="s">
        <v>31</v>
      </c>
      <c r="Q366">
        <v>5</v>
      </c>
      <c r="R366">
        <v>2.125</v>
      </c>
      <c r="S366" t="s">
        <v>32</v>
      </c>
      <c r="T366" t="s">
        <v>33</v>
      </c>
      <c r="U366" t="s">
        <v>1112</v>
      </c>
      <c r="V366" t="s">
        <v>1922</v>
      </c>
      <c r="X366" t="s">
        <v>1659</v>
      </c>
      <c r="Z366" t="s">
        <v>582</v>
      </c>
      <c r="AA366">
        <v>-1.8266960736485001</v>
      </c>
      <c r="AB366">
        <v>-80.753190150188004</v>
      </c>
      <c r="AC366">
        <v>0</v>
      </c>
      <c r="AD366">
        <f>+VLOOKUP(L366,Evalua!$G$2:$H$12,2,0)</f>
        <v>1</v>
      </c>
      <c r="AE366">
        <f>+VLOOKUP(M366,Evalua!$G$2:$H$12,2,0)</f>
        <v>2</v>
      </c>
    </row>
    <row r="367" spans="1:31" hidden="1" x14ac:dyDescent="0.2">
      <c r="A367" s="1" t="s">
        <v>1458</v>
      </c>
      <c r="B367" t="s">
        <v>1266</v>
      </c>
      <c r="D367" t="s">
        <v>1990</v>
      </c>
      <c r="E367" t="s">
        <v>2004</v>
      </c>
      <c r="G367" t="s">
        <v>1266</v>
      </c>
      <c r="H367" t="s">
        <v>153</v>
      </c>
      <c r="I367" t="s">
        <v>26</v>
      </c>
      <c r="J367" t="s">
        <v>64</v>
      </c>
      <c r="K367" t="s">
        <v>183</v>
      </c>
      <c r="L367" t="s">
        <v>28</v>
      </c>
      <c r="M367" t="s">
        <v>160</v>
      </c>
      <c r="N367" t="str">
        <f>+VLOOKUP(A367,[1]Buscador!$B:$E,4,0)</f>
        <v>Quevedo</v>
      </c>
      <c r="O367" t="str">
        <f>+VLOOKUP(A367,[1]Buscador!$B:$F,5,0)</f>
        <v>Los Ríos</v>
      </c>
      <c r="P367" t="s">
        <v>31</v>
      </c>
      <c r="S367" t="s">
        <v>162</v>
      </c>
      <c r="T367" t="s">
        <v>83</v>
      </c>
      <c r="U367" t="s">
        <v>1266</v>
      </c>
      <c r="V367" t="s">
        <v>153</v>
      </c>
      <c r="W367" t="s">
        <v>1459</v>
      </c>
      <c r="X367" t="s">
        <v>1460</v>
      </c>
      <c r="Y367" t="s">
        <v>1461</v>
      </c>
      <c r="Z367" t="s">
        <v>1457</v>
      </c>
      <c r="AA367">
        <v>-0.99963500000000005</v>
      </c>
      <c r="AB367">
        <v>-79.467501999999996</v>
      </c>
      <c r="AC367">
        <v>0</v>
      </c>
      <c r="AD367">
        <f>+VLOOKUP(L367,Evalua!$G$2:$H$12,2,0)</f>
        <v>1</v>
      </c>
      <c r="AE367">
        <f>+VLOOKUP(M367,Evalua!$G$2:$H$12,2,0)</f>
        <v>1</v>
      </c>
    </row>
    <row r="368" spans="1:31" hidden="1" x14ac:dyDescent="0.2">
      <c r="A368" s="1" t="s">
        <v>1803</v>
      </c>
      <c r="B368" t="s">
        <v>1508</v>
      </c>
      <c r="D368" t="s">
        <v>1996</v>
      </c>
      <c r="E368" t="s">
        <v>2006</v>
      </c>
      <c r="G368" t="s">
        <v>1508</v>
      </c>
      <c r="H368" t="s">
        <v>153</v>
      </c>
      <c r="I368" t="s">
        <v>26</v>
      </c>
      <c r="J368" t="s">
        <v>64</v>
      </c>
      <c r="K368" t="s">
        <v>46</v>
      </c>
      <c r="L368" t="s">
        <v>28</v>
      </c>
      <c r="M368" t="s">
        <v>29</v>
      </c>
      <c r="N368" t="str">
        <f>+VLOOKUP(A368,[1]Buscador!$B:$E,4,0)</f>
        <v>Guayaquil</v>
      </c>
      <c r="O368" t="str">
        <f>+VLOOKUP(A368,[1]Buscador!$B:$F,5,0)</f>
        <v>Guayas</v>
      </c>
      <c r="P368" t="s">
        <v>31</v>
      </c>
      <c r="S368" t="s">
        <v>32</v>
      </c>
      <c r="T368" t="s">
        <v>33</v>
      </c>
      <c r="U368" t="s">
        <v>1508</v>
      </c>
      <c r="V368" t="s">
        <v>153</v>
      </c>
      <c r="X368" t="s">
        <v>1804</v>
      </c>
      <c r="Z368" t="s">
        <v>328</v>
      </c>
      <c r="AA368">
        <v>-2.241638</v>
      </c>
      <c r="AB368">
        <v>-79.894834000000003</v>
      </c>
      <c r="AC368">
        <v>0</v>
      </c>
      <c r="AD368">
        <f>+VLOOKUP(L368,Evalua!$G$2:$H$12,2,0)</f>
        <v>1</v>
      </c>
      <c r="AE368">
        <f>+VLOOKUP(M368,Evalua!$G$2:$H$12,2,0)</f>
        <v>2</v>
      </c>
    </row>
    <row r="369" spans="1:31" hidden="1" x14ac:dyDescent="0.2">
      <c r="A369" s="1" t="s">
        <v>1490</v>
      </c>
      <c r="B369" t="s">
        <v>1283</v>
      </c>
      <c r="D369" t="s">
        <v>1990</v>
      </c>
      <c r="E369" t="s">
        <v>2008</v>
      </c>
      <c r="G369" t="s">
        <v>1283</v>
      </c>
      <c r="H369" t="s">
        <v>153</v>
      </c>
      <c r="I369" t="s">
        <v>26</v>
      </c>
      <c r="J369" t="s">
        <v>64</v>
      </c>
      <c r="K369" t="s">
        <v>46</v>
      </c>
      <c r="L369" t="s">
        <v>28</v>
      </c>
      <c r="M369" t="s">
        <v>29</v>
      </c>
      <c r="N369" t="str">
        <f>+VLOOKUP(A369,[1]Buscador!$B:$E,4,0)</f>
        <v>Guayaquil</v>
      </c>
      <c r="O369" t="str">
        <f>+VLOOKUP(A369,[1]Buscador!$B:$F,5,0)</f>
        <v>Guayas</v>
      </c>
      <c r="P369" t="s">
        <v>153</v>
      </c>
      <c r="S369" t="s">
        <v>32</v>
      </c>
      <c r="T369" t="s">
        <v>33</v>
      </c>
      <c r="U369" t="s">
        <v>1283</v>
      </c>
      <c r="V369" t="s">
        <v>153</v>
      </c>
      <c r="W369" t="s">
        <v>1491</v>
      </c>
      <c r="X369" t="s">
        <v>1492</v>
      </c>
      <c r="Y369" t="s">
        <v>1493</v>
      </c>
      <c r="Z369" t="s">
        <v>1489</v>
      </c>
      <c r="AA369">
        <v>-2.1759177515000001</v>
      </c>
      <c r="AB369">
        <v>-79.884177649700007</v>
      </c>
      <c r="AC369">
        <v>0</v>
      </c>
      <c r="AD369">
        <f>+VLOOKUP(L369,Evalua!$G$2:$H$12,2,0)</f>
        <v>1</v>
      </c>
      <c r="AE369">
        <f>+VLOOKUP(M369,Evalua!$G$2:$H$12,2,0)</f>
        <v>2</v>
      </c>
    </row>
    <row r="370" spans="1:31" hidden="1" x14ac:dyDescent="0.2">
      <c r="A370" s="1" t="s">
        <v>1622</v>
      </c>
      <c r="B370" t="s">
        <v>1360</v>
      </c>
      <c r="D370" t="s">
        <v>2002</v>
      </c>
      <c r="E370" t="s">
        <v>2010</v>
      </c>
      <c r="G370" t="s">
        <v>1360</v>
      </c>
      <c r="H370" t="s">
        <v>153</v>
      </c>
      <c r="I370" t="s">
        <v>26</v>
      </c>
      <c r="J370" t="s">
        <v>64</v>
      </c>
      <c r="K370" t="s">
        <v>46</v>
      </c>
      <c r="L370" t="s">
        <v>28</v>
      </c>
      <c r="M370" t="s">
        <v>29</v>
      </c>
      <c r="N370" t="str">
        <f>+VLOOKUP(A370,[1]Buscador!$B:$E,4,0)</f>
        <v>Guayaquil</v>
      </c>
      <c r="O370" t="str">
        <f>+VLOOKUP(A370,[1]Buscador!$B:$F,5,0)</f>
        <v>Guayas</v>
      </c>
      <c r="P370" t="s">
        <v>31</v>
      </c>
      <c r="S370" t="s">
        <v>32</v>
      </c>
      <c r="T370" t="s">
        <v>33</v>
      </c>
      <c r="U370" t="s">
        <v>1360</v>
      </c>
      <c r="V370" t="s">
        <v>153</v>
      </c>
      <c r="X370" t="s">
        <v>1623</v>
      </c>
      <c r="Z370" t="s">
        <v>1931</v>
      </c>
      <c r="AA370">
        <v>-2.1093123468677999</v>
      </c>
      <c r="AB370">
        <v>-79.948822486490997</v>
      </c>
      <c r="AC370">
        <v>0</v>
      </c>
      <c r="AD370">
        <f>+VLOOKUP(L370,Evalua!$G$2:$H$12,2,0)</f>
        <v>1</v>
      </c>
      <c r="AE370">
        <f>+VLOOKUP(M370,Evalua!$G$2:$H$12,2,0)</f>
        <v>2</v>
      </c>
    </row>
    <row r="371" spans="1:31" hidden="1" x14ac:dyDescent="0.2">
      <c r="A371" s="1" t="s">
        <v>1634</v>
      </c>
      <c r="B371" t="s">
        <v>1371</v>
      </c>
      <c r="D371" t="s">
        <v>2002</v>
      </c>
      <c r="E371" t="s">
        <v>1992</v>
      </c>
      <c r="G371" t="s">
        <v>1371</v>
      </c>
      <c r="H371" t="s">
        <v>153</v>
      </c>
      <c r="I371" t="s">
        <v>26</v>
      </c>
      <c r="J371" t="s">
        <v>64</v>
      </c>
      <c r="K371" t="s">
        <v>46</v>
      </c>
      <c r="L371" t="s">
        <v>28</v>
      </c>
      <c r="M371" t="s">
        <v>29</v>
      </c>
      <c r="N371" t="str">
        <f>+VLOOKUP(A371,[1]Buscador!$B:$E,4,0)</f>
        <v>Coronel Marcelino Maridueña</v>
      </c>
      <c r="O371" t="str">
        <f>+VLOOKUP(A371,[1]Buscador!$B:$F,5,0)</f>
        <v>Guayas</v>
      </c>
      <c r="P371" t="s">
        <v>31</v>
      </c>
      <c r="S371" t="s">
        <v>32</v>
      </c>
      <c r="T371" t="s">
        <v>33</v>
      </c>
      <c r="U371" t="s">
        <v>1371</v>
      </c>
      <c r="V371" t="s">
        <v>153</v>
      </c>
      <c r="X371" t="s">
        <v>1635</v>
      </c>
      <c r="Z371" t="s">
        <v>1933</v>
      </c>
      <c r="AA371">
        <v>-2.2105501598944999</v>
      </c>
      <c r="AB371">
        <v>-79.437369056319</v>
      </c>
      <c r="AC371">
        <v>0</v>
      </c>
      <c r="AD371">
        <f>+VLOOKUP(L371,Evalua!$G$2:$H$12,2,0)</f>
        <v>1</v>
      </c>
      <c r="AE371">
        <f>+VLOOKUP(M371,Evalua!$G$2:$H$12,2,0)</f>
        <v>2</v>
      </c>
    </row>
    <row r="372" spans="1:31" hidden="1" x14ac:dyDescent="0.2">
      <c r="A372" s="1" t="s">
        <v>1707</v>
      </c>
      <c r="B372" t="s">
        <v>171</v>
      </c>
      <c r="D372" t="s">
        <v>2003</v>
      </c>
      <c r="E372" t="s">
        <v>1991</v>
      </c>
      <c r="G372" t="s">
        <v>171</v>
      </c>
      <c r="H372" t="s">
        <v>153</v>
      </c>
      <c r="I372" t="s">
        <v>26</v>
      </c>
      <c r="J372" t="s">
        <v>39</v>
      </c>
      <c r="K372" t="s">
        <v>170</v>
      </c>
      <c r="L372" t="s">
        <v>81</v>
      </c>
      <c r="M372" t="s">
        <v>29</v>
      </c>
      <c r="N372" t="str">
        <f>+VLOOKUP(A372,[1]Buscador!$B:$E,4,0)</f>
        <v>Portoviejo</v>
      </c>
      <c r="O372" t="str">
        <f>+VLOOKUP(A372,[1]Buscador!$B:$F,5,0)</f>
        <v>Manabí</v>
      </c>
      <c r="P372" t="s">
        <v>31</v>
      </c>
      <c r="Q372">
        <v>30</v>
      </c>
      <c r="R372">
        <v>10.199999999999999</v>
      </c>
      <c r="S372" t="s">
        <v>82</v>
      </c>
      <c r="T372" t="s">
        <v>83</v>
      </c>
      <c r="U372" t="s">
        <v>171</v>
      </c>
      <c r="V372" t="s">
        <v>153</v>
      </c>
      <c r="X372" t="s">
        <v>1708</v>
      </c>
      <c r="Z372" t="s">
        <v>1943</v>
      </c>
      <c r="AA372">
        <v>-1.0509264862944001</v>
      </c>
      <c r="AB372">
        <v>-80.462363347939004</v>
      </c>
      <c r="AC372">
        <v>0</v>
      </c>
      <c r="AD372">
        <f>+VLOOKUP(L372,Evalua!$G$2:$H$12,2,0)</f>
        <v>3</v>
      </c>
      <c r="AE372">
        <f>+VLOOKUP(M372,Evalua!$G$2:$H$12,2,0)</f>
        <v>2</v>
      </c>
    </row>
    <row r="373" spans="1:31" hidden="1" x14ac:dyDescent="0.2">
      <c r="A373" s="1" t="s">
        <v>1687</v>
      </c>
      <c r="B373" t="s">
        <v>1414</v>
      </c>
      <c r="D373" t="s">
        <v>2002</v>
      </c>
      <c r="E373" t="s">
        <v>1997</v>
      </c>
      <c r="G373" t="s">
        <v>1414</v>
      </c>
      <c r="H373" t="s">
        <v>153</v>
      </c>
      <c r="I373" t="s">
        <v>26</v>
      </c>
      <c r="J373" t="s">
        <v>64</v>
      </c>
      <c r="K373" t="s">
        <v>46</v>
      </c>
      <c r="L373" t="s">
        <v>28</v>
      </c>
      <c r="M373" t="s">
        <v>29</v>
      </c>
      <c r="N373" t="str">
        <f>+VLOOKUP(A373,[1]Buscador!$B:$E,4,0)</f>
        <v>General Villamil Playas</v>
      </c>
      <c r="O373" t="str">
        <f>+VLOOKUP(A373,[1]Buscador!$B:$F,5,0)</f>
        <v>Guayas</v>
      </c>
      <c r="P373" t="s">
        <v>31</v>
      </c>
      <c r="S373" t="s">
        <v>32</v>
      </c>
      <c r="T373" t="s">
        <v>33</v>
      </c>
      <c r="U373" t="s">
        <v>1414</v>
      </c>
      <c r="V373" t="s">
        <v>153</v>
      </c>
      <c r="X373" t="s">
        <v>1688</v>
      </c>
      <c r="Z373" t="s">
        <v>1940</v>
      </c>
      <c r="AA373">
        <v>-2.6429693045424001</v>
      </c>
      <c r="AB373">
        <v>-80.385091008597996</v>
      </c>
      <c r="AC373">
        <v>0</v>
      </c>
      <c r="AD373">
        <f>+VLOOKUP(L373,Evalua!$G$2:$H$12,2,0)</f>
        <v>1</v>
      </c>
      <c r="AE373">
        <f>+VLOOKUP(M373,Evalua!$G$2:$H$12,2,0)</f>
        <v>2</v>
      </c>
    </row>
    <row r="374" spans="1:31" hidden="1" x14ac:dyDescent="0.2">
      <c r="A374" s="1" t="s">
        <v>1715</v>
      </c>
      <c r="B374" t="s">
        <v>1440</v>
      </c>
      <c r="D374" t="s">
        <v>2002</v>
      </c>
      <c r="E374" t="s">
        <v>1997</v>
      </c>
      <c r="G374" t="s">
        <v>1440</v>
      </c>
      <c r="H374" t="s">
        <v>153</v>
      </c>
      <c r="I374" t="s">
        <v>26</v>
      </c>
      <c r="J374" t="s">
        <v>64</v>
      </c>
      <c r="K374" t="s">
        <v>46</v>
      </c>
      <c r="L374" t="s">
        <v>28</v>
      </c>
      <c r="M374" t="s">
        <v>29</v>
      </c>
      <c r="N374" t="str">
        <f>+VLOOKUP(A374,[1]Buscador!$B:$E,4,0)</f>
        <v>Samborondón</v>
      </c>
      <c r="O374" t="str">
        <f>+VLOOKUP(A374,[1]Buscador!$B:$F,5,0)</f>
        <v>Guayas</v>
      </c>
      <c r="P374" t="s">
        <v>31</v>
      </c>
      <c r="Q374">
        <v>20</v>
      </c>
      <c r="R374">
        <v>10.625</v>
      </c>
      <c r="S374" t="s">
        <v>32</v>
      </c>
      <c r="T374" t="s">
        <v>33</v>
      </c>
      <c r="U374" t="s">
        <v>1440</v>
      </c>
      <c r="V374" t="s">
        <v>153</v>
      </c>
      <c r="X374" t="s">
        <v>1716</v>
      </c>
      <c r="Z374" t="s">
        <v>1945</v>
      </c>
      <c r="AA374">
        <v>-2.1433243440434002</v>
      </c>
      <c r="AB374">
        <v>-79.864877980494995</v>
      </c>
      <c r="AC374">
        <v>0</v>
      </c>
      <c r="AD374">
        <f>+VLOOKUP(L374,Evalua!$G$2:$H$12,2,0)</f>
        <v>1</v>
      </c>
      <c r="AE374">
        <f>+VLOOKUP(M374,Evalua!$G$2:$H$12,2,0)</f>
        <v>2</v>
      </c>
    </row>
    <row r="375" spans="1:31" hidden="1" x14ac:dyDescent="0.2">
      <c r="A375" s="1" t="s">
        <v>1720</v>
      </c>
      <c r="B375" t="s">
        <v>1445</v>
      </c>
      <c r="D375" t="s">
        <v>2002</v>
      </c>
      <c r="E375" t="s">
        <v>2006</v>
      </c>
      <c r="G375" t="s">
        <v>1445</v>
      </c>
      <c r="H375" t="s">
        <v>153</v>
      </c>
      <c r="I375" t="s">
        <v>26</v>
      </c>
      <c r="J375" t="s">
        <v>64</v>
      </c>
      <c r="K375" t="s">
        <v>46</v>
      </c>
      <c r="L375" t="s">
        <v>28</v>
      </c>
      <c r="M375" t="s">
        <v>29</v>
      </c>
      <c r="N375" t="str">
        <f>+VLOOKUP(A375,[1]Buscador!$B:$E,4,0)</f>
        <v>Guayaquil</v>
      </c>
      <c r="O375" t="str">
        <f>+VLOOKUP(A375,[1]Buscador!$B:$F,5,0)</f>
        <v>Guayas</v>
      </c>
      <c r="P375" t="s">
        <v>31</v>
      </c>
      <c r="S375" t="s">
        <v>32</v>
      </c>
      <c r="T375" t="s">
        <v>33</v>
      </c>
      <c r="U375" t="s">
        <v>1445</v>
      </c>
      <c r="V375" t="s">
        <v>153</v>
      </c>
      <c r="X375" t="s">
        <v>1721</v>
      </c>
      <c r="Z375" t="s">
        <v>1946</v>
      </c>
      <c r="AA375">
        <v>-2.2766347583468001</v>
      </c>
      <c r="AB375">
        <v>-79.907462393849002</v>
      </c>
      <c r="AC375">
        <v>0</v>
      </c>
      <c r="AD375">
        <f>+VLOOKUP(L375,Evalua!$G$2:$H$12,2,0)</f>
        <v>1</v>
      </c>
      <c r="AE375">
        <f>+VLOOKUP(M375,Evalua!$G$2:$H$12,2,0)</f>
        <v>2</v>
      </c>
    </row>
    <row r="376" spans="1:31" hidden="1" x14ac:dyDescent="0.2">
      <c r="A376" s="1" t="s">
        <v>1800</v>
      </c>
      <c r="B376" t="s">
        <v>1801</v>
      </c>
      <c r="D376" t="s">
        <v>1990</v>
      </c>
      <c r="E376" t="s">
        <v>2001</v>
      </c>
      <c r="G376" t="s">
        <v>1801</v>
      </c>
      <c r="H376" t="s">
        <v>153</v>
      </c>
      <c r="I376" t="s">
        <v>26</v>
      </c>
      <c r="J376" t="s">
        <v>64</v>
      </c>
      <c r="K376" t="s">
        <v>46</v>
      </c>
      <c r="L376" t="s">
        <v>28</v>
      </c>
      <c r="M376" t="s">
        <v>29</v>
      </c>
      <c r="N376" t="str">
        <f>+VLOOKUP(A376,[1]Buscador!$B:$E,4,0)</f>
        <v>Guayaquil</v>
      </c>
      <c r="O376" t="str">
        <f>+VLOOKUP(A376,[1]Buscador!$B:$F,5,0)</f>
        <v>Guayas</v>
      </c>
      <c r="P376" t="s">
        <v>31</v>
      </c>
      <c r="S376" t="s">
        <v>32</v>
      </c>
      <c r="T376" t="s">
        <v>33</v>
      </c>
      <c r="U376" t="s">
        <v>1502</v>
      </c>
      <c r="V376" t="s">
        <v>153</v>
      </c>
      <c r="X376" t="s">
        <v>1802</v>
      </c>
      <c r="Z376" t="s">
        <v>1957</v>
      </c>
      <c r="AA376">
        <v>-2.1775527356936002</v>
      </c>
      <c r="AB376">
        <v>-79.942488674591004</v>
      </c>
      <c r="AC376">
        <v>0</v>
      </c>
      <c r="AD376">
        <f>+VLOOKUP(L376,Evalua!$G$2:$H$12,2,0)</f>
        <v>1</v>
      </c>
      <c r="AE376">
        <f>+VLOOKUP(M376,Evalua!$G$2:$H$12,2,0)</f>
        <v>2</v>
      </c>
    </row>
    <row r="377" spans="1:31" hidden="1" x14ac:dyDescent="0.2">
      <c r="A377" s="1" t="s">
        <v>1809</v>
      </c>
      <c r="B377" t="s">
        <v>1514</v>
      </c>
      <c r="D377" t="s">
        <v>1996</v>
      </c>
      <c r="E377" t="s">
        <v>1997</v>
      </c>
      <c r="G377" t="s">
        <v>1514</v>
      </c>
      <c r="H377" t="s">
        <v>153</v>
      </c>
      <c r="I377" t="s">
        <v>26</v>
      </c>
      <c r="J377" t="s">
        <v>64</v>
      </c>
      <c r="K377" t="s">
        <v>46</v>
      </c>
      <c r="L377" t="s">
        <v>28</v>
      </c>
      <c r="M377" t="s">
        <v>29</v>
      </c>
      <c r="N377" t="str">
        <f>+VLOOKUP(A377,[1]Buscador!$B:$E,4,0)</f>
        <v>Durán</v>
      </c>
      <c r="O377" t="str">
        <f>+VLOOKUP(A377,[1]Buscador!$B:$F,5,0)</f>
        <v>Guayas</v>
      </c>
      <c r="P377" t="s">
        <v>31</v>
      </c>
      <c r="Q377">
        <v>30</v>
      </c>
      <c r="R377">
        <v>12.75</v>
      </c>
      <c r="S377" t="s">
        <v>32</v>
      </c>
      <c r="T377" t="s">
        <v>33</v>
      </c>
      <c r="U377" t="s">
        <v>1514</v>
      </c>
      <c r="V377" t="s">
        <v>153</v>
      </c>
      <c r="X377" t="s">
        <v>1810</v>
      </c>
      <c r="Z377" t="s">
        <v>1958</v>
      </c>
      <c r="AA377">
        <v>-2.1927731140308002</v>
      </c>
      <c r="AB377">
        <v>-79.823755483466996</v>
      </c>
      <c r="AC377">
        <v>0</v>
      </c>
      <c r="AD377">
        <f>+VLOOKUP(L377,Evalua!$G$2:$H$12,2,0)</f>
        <v>1</v>
      </c>
      <c r="AE377">
        <f>+VLOOKUP(M377,Evalua!$G$2:$H$12,2,0)</f>
        <v>2</v>
      </c>
    </row>
    <row r="378" spans="1:31" hidden="1" x14ac:dyDescent="0.2">
      <c r="A378" s="1" t="s">
        <v>1851</v>
      </c>
      <c r="B378" t="s">
        <v>1538</v>
      </c>
      <c r="D378" t="s">
        <v>1996</v>
      </c>
      <c r="E378" t="s">
        <v>1997</v>
      </c>
      <c r="G378" t="s">
        <v>1538</v>
      </c>
      <c r="H378" t="s">
        <v>153</v>
      </c>
      <c r="I378" t="s">
        <v>26</v>
      </c>
      <c r="J378" t="s">
        <v>64</v>
      </c>
      <c r="K378" t="s">
        <v>46</v>
      </c>
      <c r="L378" t="s">
        <v>28</v>
      </c>
      <c r="M378" t="s">
        <v>29</v>
      </c>
      <c r="N378" t="str">
        <f>+VLOOKUP(A378,[1]Buscador!$B:$E,4,0)</f>
        <v>Guayaquil</v>
      </c>
      <c r="O378" t="str">
        <f>+VLOOKUP(A378,[1]Buscador!$B:$F,5,0)</f>
        <v>Guayas</v>
      </c>
      <c r="P378" t="s">
        <v>153</v>
      </c>
      <c r="S378" t="s">
        <v>32</v>
      </c>
      <c r="T378" t="s">
        <v>33</v>
      </c>
      <c r="U378" t="s">
        <v>1538</v>
      </c>
      <c r="V378" t="s">
        <v>153</v>
      </c>
      <c r="X378" t="s">
        <v>1852</v>
      </c>
      <c r="Z378" t="s">
        <v>1962</v>
      </c>
      <c r="AA378">
        <v>-2.1426674740639</v>
      </c>
      <c r="AB378">
        <v>-79.879234608459001</v>
      </c>
      <c r="AC378">
        <v>0</v>
      </c>
      <c r="AD378">
        <f>+VLOOKUP(L378,Evalua!$G$2:$H$12,2,0)</f>
        <v>1</v>
      </c>
      <c r="AE378">
        <f>+VLOOKUP(M378,Evalua!$G$2:$H$12,2,0)</f>
        <v>2</v>
      </c>
    </row>
    <row r="379" spans="1:31" hidden="1" x14ac:dyDescent="0.2">
      <c r="A379" s="1" t="s">
        <v>1856</v>
      </c>
      <c r="B379" t="s">
        <v>1543</v>
      </c>
      <c r="D379" t="s">
        <v>2002</v>
      </c>
      <c r="E379" t="s">
        <v>1997</v>
      </c>
      <c r="G379" t="s">
        <v>1543</v>
      </c>
      <c r="H379" t="s">
        <v>153</v>
      </c>
      <c r="I379" t="s">
        <v>26</v>
      </c>
      <c r="J379" t="s">
        <v>64</v>
      </c>
      <c r="K379" t="s">
        <v>46</v>
      </c>
      <c r="L379" t="s">
        <v>28</v>
      </c>
      <c r="M379" t="s">
        <v>29</v>
      </c>
      <c r="N379" t="str">
        <f>+VLOOKUP(A379,[1]Buscador!$B:$E,4,0)</f>
        <v>Guayaquil</v>
      </c>
      <c r="O379" t="str">
        <f>+VLOOKUP(A379,[1]Buscador!$B:$F,5,0)</f>
        <v>Guayas</v>
      </c>
      <c r="P379" t="s">
        <v>153</v>
      </c>
      <c r="S379" t="s">
        <v>32</v>
      </c>
      <c r="T379" t="s">
        <v>33</v>
      </c>
      <c r="U379" t="s">
        <v>1543</v>
      </c>
      <c r="V379" t="s">
        <v>153</v>
      </c>
      <c r="X379" t="s">
        <v>1857</v>
      </c>
      <c r="Z379" t="s">
        <v>1963</v>
      </c>
      <c r="AA379">
        <v>-2.0737460686847</v>
      </c>
      <c r="AB379">
        <v>-79.940098529820006</v>
      </c>
      <c r="AC379">
        <v>0</v>
      </c>
      <c r="AD379">
        <f>+VLOOKUP(L379,Evalua!$G$2:$H$12,2,0)</f>
        <v>1</v>
      </c>
      <c r="AE379">
        <f>+VLOOKUP(M379,Evalua!$G$2:$H$12,2,0)</f>
        <v>2</v>
      </c>
    </row>
    <row r="380" spans="1:31" hidden="1" x14ac:dyDescent="0.2">
      <c r="A380" s="1" t="s">
        <v>176</v>
      </c>
      <c r="B380" s="3" t="s">
        <v>112</v>
      </c>
      <c r="C380" s="3"/>
      <c r="D380" t="s">
        <v>2003</v>
      </c>
      <c r="E380" t="s">
        <v>1992</v>
      </c>
      <c r="G380" t="s">
        <v>112</v>
      </c>
      <c r="H380" t="s">
        <v>1970</v>
      </c>
      <c r="I380" t="s">
        <v>26</v>
      </c>
      <c r="J380" t="s">
        <v>136</v>
      </c>
      <c r="K380" t="s">
        <v>170</v>
      </c>
      <c r="L380" t="s">
        <v>123</v>
      </c>
      <c r="M380" t="s">
        <v>29</v>
      </c>
      <c r="N380" t="str">
        <f>+VLOOKUP(A380,[1]Buscador!$B:$E,4,0)</f>
        <v>Portoviejo</v>
      </c>
      <c r="O380" t="str">
        <f>+VLOOKUP(A380,[1]Buscador!$B:$F,5,0)</f>
        <v>Manabí</v>
      </c>
      <c r="P380" t="s">
        <v>31</v>
      </c>
      <c r="S380" t="s">
        <v>125</v>
      </c>
      <c r="T380" t="s">
        <v>126</v>
      </c>
      <c r="U380" t="s">
        <v>112</v>
      </c>
      <c r="V380" t="s">
        <v>153</v>
      </c>
      <c r="W380" t="s">
        <v>177</v>
      </c>
      <c r="X380" t="s">
        <v>178</v>
      </c>
      <c r="Y380" t="s">
        <v>179</v>
      </c>
      <c r="Z380" t="s">
        <v>175</v>
      </c>
      <c r="AA380">
        <v>-1.0733569999999999</v>
      </c>
      <c r="AB380">
        <v>-80.444452999999996</v>
      </c>
      <c r="AC380">
        <v>0</v>
      </c>
      <c r="AD380">
        <f>+VLOOKUP(L380,Evalua!$G$2:$H$12,2,0)</f>
        <v>4</v>
      </c>
      <c r="AE380">
        <f>+VLOOKUP(M380,Evalua!$G$2:$H$12,2,0)</f>
        <v>2</v>
      </c>
    </row>
    <row r="381" spans="1:31" hidden="1" x14ac:dyDescent="0.2">
      <c r="A381" s="1" t="s">
        <v>1743</v>
      </c>
      <c r="B381" t="s">
        <v>1459</v>
      </c>
      <c r="G381" t="s">
        <v>1459</v>
      </c>
      <c r="H381" t="s">
        <v>153</v>
      </c>
      <c r="I381" t="s">
        <v>26</v>
      </c>
      <c r="J381" t="s">
        <v>39</v>
      </c>
      <c r="K381" t="s">
        <v>27</v>
      </c>
      <c r="L381" t="s">
        <v>28</v>
      </c>
      <c r="M381" t="s">
        <v>29</v>
      </c>
      <c r="N381" t="str">
        <f>+VLOOKUP(A381,[1]Buscador!$B:$E,4,0)</f>
        <v>Quito</v>
      </c>
      <c r="O381" t="str">
        <f>+VLOOKUP(A381,[1]Buscador!$B:$F,5,0)</f>
        <v>Pichincha</v>
      </c>
      <c r="P381" t="s">
        <v>31</v>
      </c>
      <c r="S381" t="s">
        <v>32</v>
      </c>
      <c r="T381" t="s">
        <v>33</v>
      </c>
      <c r="U381" t="s">
        <v>1459</v>
      </c>
      <c r="V381" t="s">
        <v>153</v>
      </c>
      <c r="X381" t="s">
        <v>1744</v>
      </c>
      <c r="Z381" t="s">
        <v>1949</v>
      </c>
      <c r="AA381">
        <v>-0.19758899999999999</v>
      </c>
      <c r="AB381">
        <v>-78.489525999999998</v>
      </c>
      <c r="AC381">
        <v>0</v>
      </c>
      <c r="AD381">
        <f>+VLOOKUP(L381,Evalua!$G$2:$H$12,2,0)</f>
        <v>1</v>
      </c>
      <c r="AE381">
        <f>+VLOOKUP(M381,Evalua!$G$2:$H$12,2,0)</f>
        <v>2</v>
      </c>
    </row>
    <row r="382" spans="1:31" hidden="1" x14ac:dyDescent="0.2">
      <c r="A382" s="1" t="s">
        <v>1814</v>
      </c>
      <c r="B382" t="s">
        <v>1518</v>
      </c>
      <c r="D382" t="s">
        <v>2011</v>
      </c>
      <c r="E382" t="s">
        <v>2008</v>
      </c>
      <c r="G382" t="s">
        <v>1518</v>
      </c>
      <c r="H382" t="s">
        <v>153</v>
      </c>
      <c r="I382" t="s">
        <v>26</v>
      </c>
      <c r="J382" t="s">
        <v>136</v>
      </c>
      <c r="K382" t="s">
        <v>46</v>
      </c>
      <c r="L382" t="s">
        <v>28</v>
      </c>
      <c r="M382" t="s">
        <v>29</v>
      </c>
      <c r="N382" t="str">
        <f>+VLOOKUP(A382,[1]Buscador!$B:$E,4,0)</f>
        <v>Posorja</v>
      </c>
      <c r="O382" t="str">
        <f>+VLOOKUP(A382,[1]Buscador!$B:$F,5,0)</f>
        <v>Guayas</v>
      </c>
      <c r="P382" t="s">
        <v>31</v>
      </c>
      <c r="S382" t="s">
        <v>32</v>
      </c>
      <c r="T382" t="s">
        <v>33</v>
      </c>
      <c r="U382" t="s">
        <v>1518</v>
      </c>
      <c r="V382" t="s">
        <v>153</v>
      </c>
      <c r="X382" t="s">
        <v>1816</v>
      </c>
      <c r="Z382" t="s">
        <v>1959</v>
      </c>
      <c r="AA382">
        <v>-2.6981972431688002</v>
      </c>
      <c r="AB382">
        <v>-80.248583733184006</v>
      </c>
      <c r="AC382">
        <v>0</v>
      </c>
      <c r="AD382">
        <f>+VLOOKUP(L382,Evalua!$G$2:$H$12,2,0)</f>
        <v>1</v>
      </c>
      <c r="AE382">
        <f>+VLOOKUP(M382,Evalua!$G$2:$H$12,2,0)</f>
        <v>2</v>
      </c>
    </row>
    <row r="383" spans="1:31" hidden="1" x14ac:dyDescent="0.2">
      <c r="A383" s="1" t="s">
        <v>1233</v>
      </c>
      <c r="B383" t="s">
        <v>568</v>
      </c>
      <c r="G383" t="s">
        <v>568</v>
      </c>
      <c r="H383" t="s">
        <v>153</v>
      </c>
      <c r="I383" t="s">
        <v>26</v>
      </c>
      <c r="J383" t="s">
        <v>39</v>
      </c>
      <c r="K383" t="s">
        <v>159</v>
      </c>
      <c r="L383" t="s">
        <v>28</v>
      </c>
      <c r="M383" t="s">
        <v>29</v>
      </c>
      <c r="N383" t="str">
        <f>+VLOOKUP(A383,[1]Buscador!$B:$E,4,0)</f>
        <v>Azogues</v>
      </c>
      <c r="O383" t="str">
        <f>+VLOOKUP(A383,[1]Buscador!$B:$F,5,0)</f>
        <v>Cañar</v>
      </c>
      <c r="P383" t="s">
        <v>31</v>
      </c>
      <c r="Q383">
        <v>20</v>
      </c>
      <c r="R383">
        <v>6.8</v>
      </c>
      <c r="S383" t="s">
        <v>32</v>
      </c>
      <c r="T383" t="s">
        <v>33</v>
      </c>
      <c r="U383" t="s">
        <v>568</v>
      </c>
      <c r="V383" t="s">
        <v>153</v>
      </c>
      <c r="W383" t="s">
        <v>1234</v>
      </c>
      <c r="X383" t="s">
        <v>1235</v>
      </c>
      <c r="Y383" t="s">
        <v>1236</v>
      </c>
      <c r="Z383" t="s">
        <v>1232</v>
      </c>
      <c r="AA383">
        <v>-2.7378502881000002</v>
      </c>
      <c r="AB383">
        <v>-78.846438442600004</v>
      </c>
      <c r="AC383">
        <v>0</v>
      </c>
      <c r="AD383">
        <f>+VLOOKUP(L383,Evalua!$G$2:$H$12,2,0)</f>
        <v>1</v>
      </c>
      <c r="AE383">
        <f>+VLOOKUP(M383,Evalua!$G$2:$H$12,2,0)</f>
        <v>2</v>
      </c>
    </row>
    <row r="384" spans="1:31" hidden="1" x14ac:dyDescent="0.2">
      <c r="A384" s="1" t="s">
        <v>1749</v>
      </c>
      <c r="B384" t="s">
        <v>1465</v>
      </c>
      <c r="G384" t="s">
        <v>1465</v>
      </c>
      <c r="H384" t="s">
        <v>153</v>
      </c>
      <c r="I384" t="s">
        <v>26</v>
      </c>
      <c r="J384" t="s">
        <v>39</v>
      </c>
      <c r="K384" t="s">
        <v>27</v>
      </c>
      <c r="L384" t="s">
        <v>28</v>
      </c>
      <c r="M384" t="s">
        <v>29</v>
      </c>
      <c r="N384" t="str">
        <f>+VLOOKUP(A384,[1]Buscador!$B:$E,4,0)</f>
        <v>Quito</v>
      </c>
      <c r="O384" t="str">
        <f>+VLOOKUP(A384,[1]Buscador!$B:$F,5,0)</f>
        <v>Pichincha</v>
      </c>
      <c r="P384" t="s">
        <v>31</v>
      </c>
      <c r="S384" t="s">
        <v>32</v>
      </c>
      <c r="T384" t="s">
        <v>33</v>
      </c>
      <c r="U384" t="s">
        <v>1465</v>
      </c>
      <c r="V384" t="s">
        <v>153</v>
      </c>
      <c r="X384" t="s">
        <v>1750</v>
      </c>
      <c r="Z384" t="s">
        <v>1950</v>
      </c>
      <c r="AA384">
        <v>-0.25220533226148001</v>
      </c>
      <c r="AB384">
        <v>-78.523039906746007</v>
      </c>
      <c r="AC384">
        <v>0</v>
      </c>
      <c r="AD384">
        <f>+VLOOKUP(L384,Evalua!$G$2:$H$12,2,0)</f>
        <v>1</v>
      </c>
      <c r="AE384">
        <f>+VLOOKUP(M384,Evalua!$G$2:$H$12,2,0)</f>
        <v>2</v>
      </c>
    </row>
    <row r="385" spans="1:31" hidden="1" x14ac:dyDescent="0.2">
      <c r="A385" s="1" t="s">
        <v>1381</v>
      </c>
      <c r="B385" t="s">
        <v>1229</v>
      </c>
      <c r="G385" t="s">
        <v>1229</v>
      </c>
      <c r="H385" t="s">
        <v>153</v>
      </c>
      <c r="I385" t="s">
        <v>26</v>
      </c>
      <c r="J385" t="s">
        <v>39</v>
      </c>
      <c r="K385" t="s">
        <v>159</v>
      </c>
      <c r="L385" t="s">
        <v>28</v>
      </c>
      <c r="M385" t="s">
        <v>29</v>
      </c>
      <c r="N385" t="str">
        <f>+VLOOKUP(A385,[1]Buscador!$B:$E,4,0)</f>
        <v>Cuenca</v>
      </c>
      <c r="O385" t="str">
        <f>+VLOOKUP(A385,[1]Buscador!$B:$F,5,0)</f>
        <v>Azuay</v>
      </c>
      <c r="P385" t="s">
        <v>31</v>
      </c>
      <c r="Q385">
        <v>50</v>
      </c>
      <c r="R385">
        <v>17</v>
      </c>
      <c r="S385" t="s">
        <v>32</v>
      </c>
      <c r="T385" t="s">
        <v>33</v>
      </c>
      <c r="U385" t="s">
        <v>1229</v>
      </c>
      <c r="V385" t="s">
        <v>153</v>
      </c>
      <c r="W385" t="s">
        <v>1382</v>
      </c>
      <c r="X385" t="s">
        <v>1383</v>
      </c>
      <c r="Y385" t="s">
        <v>1384</v>
      </c>
      <c r="Z385" t="s">
        <v>1380</v>
      </c>
      <c r="AA385">
        <v>-2.8980204687</v>
      </c>
      <c r="AB385">
        <v>-79.002912304000006</v>
      </c>
      <c r="AC385">
        <v>0</v>
      </c>
      <c r="AD385">
        <f>+VLOOKUP(L385,Evalua!$G$2:$H$12,2,0)</f>
        <v>1</v>
      </c>
      <c r="AE385">
        <f>+VLOOKUP(M385,Evalua!$G$2:$H$12,2,0)</f>
        <v>2</v>
      </c>
    </row>
    <row r="386" spans="1:31" hidden="1" x14ac:dyDescent="0.2">
      <c r="A386" s="1" t="s">
        <v>1359</v>
      </c>
      <c r="B386" t="s">
        <v>1218</v>
      </c>
      <c r="G386" t="s">
        <v>1218</v>
      </c>
      <c r="H386" t="s">
        <v>153</v>
      </c>
      <c r="I386" t="s">
        <v>26</v>
      </c>
      <c r="J386" t="s">
        <v>39</v>
      </c>
      <c r="K386" t="s">
        <v>27</v>
      </c>
      <c r="L386" t="s">
        <v>28</v>
      </c>
      <c r="M386" t="s">
        <v>29</v>
      </c>
      <c r="N386" t="str">
        <f>+VLOOKUP(A386,[1]Buscador!$B:$E,4,0)</f>
        <v>El Condado</v>
      </c>
      <c r="O386" t="str">
        <f>+VLOOKUP(A386,[1]Buscador!$B:$F,5,0)</f>
        <v>Pichincha</v>
      </c>
      <c r="P386" t="s">
        <v>31</v>
      </c>
      <c r="S386" t="s">
        <v>32</v>
      </c>
      <c r="T386" t="s">
        <v>33</v>
      </c>
      <c r="U386" t="s">
        <v>1218</v>
      </c>
      <c r="V386" t="s">
        <v>153</v>
      </c>
      <c r="W386" t="s">
        <v>1360</v>
      </c>
      <c r="X386" t="s">
        <v>1361</v>
      </c>
      <c r="Y386" t="s">
        <v>1362</v>
      </c>
      <c r="Z386" t="s">
        <v>1358</v>
      </c>
      <c r="AA386">
        <v>-0.1038586388</v>
      </c>
      <c r="AB386">
        <v>-78.490326716400006</v>
      </c>
      <c r="AC386">
        <v>0</v>
      </c>
      <c r="AD386">
        <f>+VLOOKUP(L386,Evalua!$G$2:$H$12,2,0)</f>
        <v>1</v>
      </c>
      <c r="AE386">
        <f>+VLOOKUP(M386,Evalua!$G$2:$H$12,2,0)</f>
        <v>2</v>
      </c>
    </row>
    <row r="387" spans="1:31" hidden="1" x14ac:dyDescent="0.2">
      <c r="A387" s="1" t="s">
        <v>1553</v>
      </c>
      <c r="B387" t="s">
        <v>1310</v>
      </c>
      <c r="G387" t="s">
        <v>1310</v>
      </c>
      <c r="H387" t="s">
        <v>153</v>
      </c>
      <c r="I387" t="s">
        <v>26</v>
      </c>
      <c r="J387" t="s">
        <v>39</v>
      </c>
      <c r="K387" t="s">
        <v>159</v>
      </c>
      <c r="L387" t="s">
        <v>28</v>
      </c>
      <c r="M387" t="s">
        <v>29</v>
      </c>
      <c r="N387" t="str">
        <f>+VLOOKUP(A387,[1]Buscador!$B:$E,4,0)</f>
        <v>Loja</v>
      </c>
      <c r="O387" t="str">
        <f>+VLOOKUP(A387,[1]Buscador!$B:$F,5,0)</f>
        <v>Loja</v>
      </c>
      <c r="P387" t="s">
        <v>31</v>
      </c>
      <c r="Q387">
        <v>5</v>
      </c>
      <c r="R387">
        <v>2.125</v>
      </c>
      <c r="S387" t="s">
        <v>32</v>
      </c>
      <c r="T387" t="s">
        <v>33</v>
      </c>
      <c r="U387" t="s">
        <v>1310</v>
      </c>
      <c r="V387" t="s">
        <v>153</v>
      </c>
      <c r="W387" t="s">
        <v>1554</v>
      </c>
      <c r="X387" t="s">
        <v>1555</v>
      </c>
      <c r="Y387" t="s">
        <v>1556</v>
      </c>
      <c r="Z387" t="s">
        <v>1552</v>
      </c>
      <c r="AA387">
        <v>-3.9964520000000001</v>
      </c>
      <c r="AB387">
        <v>-79.203559999999996</v>
      </c>
      <c r="AC387">
        <v>0</v>
      </c>
      <c r="AD387">
        <f>+VLOOKUP(L387,Evalua!$G$2:$H$12,2,0)</f>
        <v>1</v>
      </c>
      <c r="AE387">
        <f>+VLOOKUP(M387,Evalua!$G$2:$H$12,2,0)</f>
        <v>2</v>
      </c>
    </row>
    <row r="388" spans="1:31" hidden="1" x14ac:dyDescent="0.2">
      <c r="A388" s="1" t="s">
        <v>1755</v>
      </c>
      <c r="B388" t="s">
        <v>1470</v>
      </c>
      <c r="G388" t="s">
        <v>1470</v>
      </c>
      <c r="H388" t="s">
        <v>153</v>
      </c>
      <c r="I388" t="s">
        <v>26</v>
      </c>
      <c r="J388" t="s">
        <v>39</v>
      </c>
      <c r="K388" t="s">
        <v>27</v>
      </c>
      <c r="L388" t="s">
        <v>28</v>
      </c>
      <c r="M388" t="s">
        <v>29</v>
      </c>
      <c r="N388" t="str">
        <f>+VLOOKUP(A388,[1]Buscador!$B:$E,4,0)</f>
        <v>Quito</v>
      </c>
      <c r="O388" t="str">
        <f>+VLOOKUP(A388,[1]Buscador!$B:$F,5,0)</f>
        <v>Pichincha</v>
      </c>
      <c r="P388" t="s">
        <v>31</v>
      </c>
      <c r="Q388">
        <v>50</v>
      </c>
      <c r="R388">
        <v>17</v>
      </c>
      <c r="S388" t="s">
        <v>32</v>
      </c>
      <c r="T388" t="s">
        <v>33</v>
      </c>
      <c r="U388" t="s">
        <v>1470</v>
      </c>
      <c r="V388" t="s">
        <v>153</v>
      </c>
      <c r="X388" t="s">
        <v>1756</v>
      </c>
      <c r="Z388" t="s">
        <v>1951</v>
      </c>
      <c r="AA388">
        <v>-0.1524604</v>
      </c>
      <c r="AB388">
        <v>-78.484634400000004</v>
      </c>
      <c r="AC388">
        <v>0</v>
      </c>
      <c r="AD388">
        <f>+VLOOKUP(L388,Evalua!$G$2:$H$12,2,0)</f>
        <v>1</v>
      </c>
      <c r="AE388">
        <f>+VLOOKUP(M388,Evalua!$G$2:$H$12,2,0)</f>
        <v>2</v>
      </c>
    </row>
    <row r="389" spans="1:31" hidden="1" x14ac:dyDescent="0.2">
      <c r="A389" s="1" t="s">
        <v>1737</v>
      </c>
      <c r="B389" t="s">
        <v>1454</v>
      </c>
      <c r="G389" t="s">
        <v>1454</v>
      </c>
      <c r="H389" t="s">
        <v>153</v>
      </c>
      <c r="I389" t="s">
        <v>26</v>
      </c>
      <c r="J389" t="s">
        <v>39</v>
      </c>
      <c r="K389" t="s">
        <v>27</v>
      </c>
      <c r="L389" t="s">
        <v>28</v>
      </c>
      <c r="M389" t="s">
        <v>29</v>
      </c>
      <c r="N389" t="str">
        <f>+VLOOKUP(A389,[1]Buscador!$B:$E,4,0)</f>
        <v>Quito</v>
      </c>
      <c r="O389" t="str">
        <f>+VLOOKUP(A389,[1]Buscador!$B:$F,5,0)</f>
        <v>Pichincha</v>
      </c>
      <c r="P389" t="s">
        <v>31</v>
      </c>
      <c r="S389" t="s">
        <v>32</v>
      </c>
      <c r="T389" t="s">
        <v>33</v>
      </c>
      <c r="U389" t="s">
        <v>1454</v>
      </c>
      <c r="V389" t="s">
        <v>153</v>
      </c>
      <c r="X389" t="s">
        <v>1738</v>
      </c>
      <c r="Z389" t="s">
        <v>1948</v>
      </c>
      <c r="AA389">
        <v>-0.28519660716465001</v>
      </c>
      <c r="AB389">
        <v>-78.543643270809</v>
      </c>
      <c r="AC389">
        <v>0</v>
      </c>
      <c r="AD389">
        <f>+VLOOKUP(L389,Evalua!$G$2:$H$12,2,0)</f>
        <v>1</v>
      </c>
      <c r="AE389">
        <f>+VLOOKUP(M389,Evalua!$G$2:$H$12,2,0)</f>
        <v>2</v>
      </c>
    </row>
    <row r="390" spans="1:31" hidden="1" x14ac:dyDescent="0.2">
      <c r="A390" s="1" t="s">
        <v>38</v>
      </c>
      <c r="B390" t="s">
        <v>34</v>
      </c>
      <c r="G390" t="s">
        <v>34</v>
      </c>
      <c r="H390" t="s">
        <v>153</v>
      </c>
      <c r="I390" t="s">
        <v>26</v>
      </c>
      <c r="J390" t="s">
        <v>39</v>
      </c>
      <c r="K390" t="s">
        <v>27</v>
      </c>
      <c r="L390" t="s">
        <v>28</v>
      </c>
      <c r="M390" t="s">
        <v>29</v>
      </c>
      <c r="N390" t="str">
        <f>+VLOOKUP(A390,[1]Buscador!$B:$E,4,0)</f>
        <v>Quito</v>
      </c>
      <c r="O390" t="str">
        <f>+VLOOKUP(A390,[1]Buscador!$B:$F,5,0)</f>
        <v>Pichincha</v>
      </c>
      <c r="P390" t="s">
        <v>31</v>
      </c>
      <c r="S390" t="s">
        <v>32</v>
      </c>
      <c r="T390" t="s">
        <v>33</v>
      </c>
      <c r="U390" t="s">
        <v>34</v>
      </c>
      <c r="V390" t="s">
        <v>153</v>
      </c>
      <c r="W390" t="s">
        <v>40</v>
      </c>
      <c r="X390" t="s">
        <v>41</v>
      </c>
      <c r="Y390" t="s">
        <v>42</v>
      </c>
      <c r="Z390" t="s">
        <v>37</v>
      </c>
      <c r="AA390">
        <v>-0.20603299999999999</v>
      </c>
      <c r="AB390">
        <v>-78.487365999999994</v>
      </c>
      <c r="AC390">
        <v>0</v>
      </c>
      <c r="AD390">
        <f>+VLOOKUP(L390,Evalua!$G$2:$H$12,2,0)</f>
        <v>1</v>
      </c>
      <c r="AE390">
        <f>+VLOOKUP(M390,Evalua!$G$2:$H$12,2,0)</f>
        <v>2</v>
      </c>
    </row>
    <row r="391" spans="1:31" hidden="1" x14ac:dyDescent="0.2">
      <c r="A391" s="1" t="s">
        <v>1713</v>
      </c>
      <c r="B391" t="s">
        <v>1436</v>
      </c>
      <c r="G391" t="s">
        <v>1436</v>
      </c>
      <c r="H391" t="s">
        <v>153</v>
      </c>
      <c r="I391" t="s">
        <v>26</v>
      </c>
      <c r="J391" t="s">
        <v>39</v>
      </c>
      <c r="K391" t="s">
        <v>27</v>
      </c>
      <c r="L391" t="s">
        <v>28</v>
      </c>
      <c r="M391" t="s">
        <v>29</v>
      </c>
      <c r="N391" t="str">
        <f>+VLOOKUP(A391,[1]Buscador!$B:$E,4,0)</f>
        <v>Quito</v>
      </c>
      <c r="O391" t="str">
        <f>+VLOOKUP(A391,[1]Buscador!$B:$F,5,0)</f>
        <v>Pichincha</v>
      </c>
      <c r="P391" t="s">
        <v>31</v>
      </c>
      <c r="S391" t="s">
        <v>32</v>
      </c>
      <c r="T391" t="s">
        <v>33</v>
      </c>
      <c r="U391" t="s">
        <v>1436</v>
      </c>
      <c r="V391" t="s">
        <v>153</v>
      </c>
      <c r="X391" t="s">
        <v>1714</v>
      </c>
      <c r="Z391" t="s">
        <v>1944</v>
      </c>
      <c r="AA391">
        <v>-0.18241667800903999</v>
      </c>
      <c r="AB391">
        <v>-78.478438327571993</v>
      </c>
      <c r="AC391">
        <v>0</v>
      </c>
      <c r="AD391">
        <f>+VLOOKUP(L391,Evalua!$G$2:$H$12,2,0)</f>
        <v>1</v>
      </c>
      <c r="AE391">
        <f>+VLOOKUP(M391,Evalua!$G$2:$H$12,2,0)</f>
        <v>2</v>
      </c>
    </row>
    <row r="392" spans="1:31" hidden="1" x14ac:dyDescent="0.2">
      <c r="A392" s="1" t="s">
        <v>1776</v>
      </c>
      <c r="B392" t="s">
        <v>1486</v>
      </c>
      <c r="G392" t="s">
        <v>1486</v>
      </c>
      <c r="H392" t="s">
        <v>153</v>
      </c>
      <c r="I392" t="s">
        <v>26</v>
      </c>
      <c r="J392" t="s">
        <v>39</v>
      </c>
      <c r="K392" t="s">
        <v>27</v>
      </c>
      <c r="L392" t="s">
        <v>28</v>
      </c>
      <c r="M392" t="s">
        <v>29</v>
      </c>
      <c r="N392" t="str">
        <f>+VLOOKUP(A392,[1]Buscador!$B:$E,4,0)</f>
        <v>Quito</v>
      </c>
      <c r="O392" t="str">
        <f>+VLOOKUP(A392,[1]Buscador!$B:$F,5,0)</f>
        <v>Pichincha</v>
      </c>
      <c r="P392" t="s">
        <v>153</v>
      </c>
      <c r="S392" t="s">
        <v>32</v>
      </c>
      <c r="T392" t="s">
        <v>33</v>
      </c>
      <c r="U392" t="s">
        <v>1486</v>
      </c>
      <c r="V392" t="s">
        <v>153</v>
      </c>
      <c r="X392" t="s">
        <v>1777</v>
      </c>
      <c r="Z392" t="s">
        <v>1954</v>
      </c>
      <c r="AA392">
        <v>-0.16759569524283</v>
      </c>
      <c r="AB392">
        <v>-78.489494004353006</v>
      </c>
      <c r="AC392">
        <v>0</v>
      </c>
      <c r="AD392">
        <f>+VLOOKUP(L392,Evalua!$G$2:$H$12,2,0)</f>
        <v>1</v>
      </c>
      <c r="AE392">
        <f>+VLOOKUP(M392,Evalua!$G$2:$H$12,2,0)</f>
        <v>2</v>
      </c>
    </row>
    <row r="393" spans="1:31" hidden="1" x14ac:dyDescent="0.2">
      <c r="A393" s="1" t="s">
        <v>1782</v>
      </c>
      <c r="B393" t="s">
        <v>1491</v>
      </c>
      <c r="G393" t="s">
        <v>1491</v>
      </c>
      <c r="H393" t="s">
        <v>153</v>
      </c>
      <c r="I393" t="s">
        <v>26</v>
      </c>
      <c r="J393" t="s">
        <v>39</v>
      </c>
      <c r="K393" t="s">
        <v>159</v>
      </c>
      <c r="L393" t="s">
        <v>28</v>
      </c>
      <c r="M393" t="s">
        <v>29</v>
      </c>
      <c r="N393" t="str">
        <f>+VLOOKUP(A393,[1]Buscador!$B:$E,4,0)</f>
        <v>Cuenca</v>
      </c>
      <c r="O393" t="str">
        <f>+VLOOKUP(A393,[1]Buscador!$B:$F,5,0)</f>
        <v>Azuay</v>
      </c>
      <c r="P393" t="s">
        <v>31</v>
      </c>
      <c r="Q393">
        <v>50</v>
      </c>
      <c r="R393">
        <v>17</v>
      </c>
      <c r="S393" t="s">
        <v>32</v>
      </c>
      <c r="T393" t="s">
        <v>33</v>
      </c>
      <c r="U393" t="s">
        <v>1491</v>
      </c>
      <c r="V393" t="s">
        <v>153</v>
      </c>
      <c r="X393" t="s">
        <v>1783</v>
      </c>
      <c r="Z393" t="s">
        <v>1955</v>
      </c>
      <c r="AA393">
        <v>-2.8979883430347</v>
      </c>
      <c r="AB393">
        <v>-79.018494097602002</v>
      </c>
      <c r="AC393">
        <v>0</v>
      </c>
      <c r="AD393">
        <f>+VLOOKUP(L393,Evalua!$G$2:$H$12,2,0)</f>
        <v>1</v>
      </c>
      <c r="AE393">
        <f>+VLOOKUP(M393,Evalua!$G$2:$H$12,2,0)</f>
        <v>2</v>
      </c>
    </row>
    <row r="394" spans="1:31" hidden="1" x14ac:dyDescent="0.2">
      <c r="A394" s="1" t="s">
        <v>1761</v>
      </c>
      <c r="B394" t="s">
        <v>1476</v>
      </c>
      <c r="G394" t="s">
        <v>1476</v>
      </c>
      <c r="H394" t="s">
        <v>153</v>
      </c>
      <c r="I394" t="s">
        <v>26</v>
      </c>
      <c r="J394" t="s">
        <v>39</v>
      </c>
      <c r="K394" t="s">
        <v>27</v>
      </c>
      <c r="L394" t="s">
        <v>28</v>
      </c>
      <c r="M394" t="s">
        <v>29</v>
      </c>
      <c r="N394" t="str">
        <f>+VLOOKUP(A394,[1]Buscador!$B:$E,4,0)</f>
        <v>Sangolquí</v>
      </c>
      <c r="O394" t="str">
        <f>+VLOOKUP(A394,[1]Buscador!$B:$F,5,0)</f>
        <v>Pichincha</v>
      </c>
      <c r="P394" t="s">
        <v>31</v>
      </c>
      <c r="S394" t="s">
        <v>32</v>
      </c>
      <c r="T394" t="s">
        <v>33</v>
      </c>
      <c r="U394" t="s">
        <v>1476</v>
      </c>
      <c r="V394" t="s">
        <v>153</v>
      </c>
      <c r="X394" t="s">
        <v>1762</v>
      </c>
      <c r="Z394" t="s">
        <v>1952</v>
      </c>
      <c r="AA394">
        <v>-0.30797568986607998</v>
      </c>
      <c r="AB394">
        <v>-78.449547381615005</v>
      </c>
      <c r="AC394">
        <v>0</v>
      </c>
      <c r="AD394">
        <f>+VLOOKUP(L394,Evalua!$G$2:$H$12,2,0)</f>
        <v>1</v>
      </c>
      <c r="AE394">
        <f>+VLOOKUP(M394,Evalua!$G$2:$H$12,2,0)</f>
        <v>2</v>
      </c>
    </row>
    <row r="395" spans="1:31" hidden="1" x14ac:dyDescent="0.2">
      <c r="A395" s="1" t="s">
        <v>1276</v>
      </c>
      <c r="B395" t="s">
        <v>1193</v>
      </c>
      <c r="G395" t="s">
        <v>1193</v>
      </c>
      <c r="H395" t="s">
        <v>153</v>
      </c>
      <c r="I395" t="s">
        <v>26</v>
      </c>
      <c r="J395" t="s">
        <v>39</v>
      </c>
      <c r="K395" t="s">
        <v>27</v>
      </c>
      <c r="L395" t="s">
        <v>28</v>
      </c>
      <c r="M395" t="s">
        <v>29</v>
      </c>
      <c r="N395" t="str">
        <f>+VLOOKUP(A395,[1]Buscador!$B:$E,4,0)</f>
        <v>Cumbaya</v>
      </c>
      <c r="O395" t="str">
        <f>+VLOOKUP(A395,[1]Buscador!$B:$F,5,0)</f>
        <v>Pichincha</v>
      </c>
      <c r="P395" t="s">
        <v>31</v>
      </c>
      <c r="S395" t="s">
        <v>32</v>
      </c>
      <c r="T395" t="s">
        <v>33</v>
      </c>
      <c r="U395" t="s">
        <v>1193</v>
      </c>
      <c r="V395" t="s">
        <v>153</v>
      </c>
      <c r="W395" t="s">
        <v>1277</v>
      </c>
      <c r="X395" t="s">
        <v>1278</v>
      </c>
      <c r="Y395" t="s">
        <v>1279</v>
      </c>
      <c r="Z395" t="s">
        <v>1275</v>
      </c>
      <c r="AA395">
        <v>-0.198908</v>
      </c>
      <c r="AB395">
        <v>-78.436092000000002</v>
      </c>
      <c r="AC395">
        <v>0</v>
      </c>
      <c r="AD395">
        <f>+VLOOKUP(L395,Evalua!$G$2:$H$12,2,0)</f>
        <v>1</v>
      </c>
      <c r="AE395">
        <f>+VLOOKUP(M395,Evalua!$G$2:$H$12,2,0)</f>
        <v>2</v>
      </c>
    </row>
    <row r="396" spans="1:31" hidden="1" x14ac:dyDescent="0.2">
      <c r="A396" s="1" t="s">
        <v>1369</v>
      </c>
      <c r="B396" t="s">
        <v>161</v>
      </c>
      <c r="G396" t="s">
        <v>161</v>
      </c>
      <c r="H396" t="s">
        <v>153</v>
      </c>
      <c r="I396" t="s">
        <v>26</v>
      </c>
      <c r="J396" t="s">
        <v>1370</v>
      </c>
      <c r="K396" t="s">
        <v>159</v>
      </c>
      <c r="L396" t="s">
        <v>28</v>
      </c>
      <c r="M396" t="s">
        <v>29</v>
      </c>
      <c r="N396" t="str">
        <f>+VLOOKUP(A396,[1]Buscador!$B:$E,4,0)</f>
        <v>Cuenca</v>
      </c>
      <c r="O396" t="str">
        <f>+VLOOKUP(A396,[1]Buscador!$B:$F,5,0)</f>
        <v>Azuay</v>
      </c>
      <c r="P396" t="s">
        <v>31</v>
      </c>
      <c r="Q396">
        <v>50</v>
      </c>
      <c r="R396">
        <v>21.25</v>
      </c>
      <c r="S396" t="s">
        <v>32</v>
      </c>
      <c r="T396" t="s">
        <v>33</v>
      </c>
      <c r="U396" t="s">
        <v>161</v>
      </c>
      <c r="V396" t="s">
        <v>153</v>
      </c>
      <c r="W396" t="s">
        <v>1371</v>
      </c>
      <c r="X396" t="s">
        <v>1372</v>
      </c>
      <c r="Y396" t="s">
        <v>1373</v>
      </c>
      <c r="Z396" t="s">
        <v>1368</v>
      </c>
      <c r="AA396">
        <v>-2.905424</v>
      </c>
      <c r="AB396">
        <v>-79.003303000000002</v>
      </c>
      <c r="AC396">
        <v>0</v>
      </c>
      <c r="AD396">
        <f>+VLOOKUP(L396,Evalua!$G$2:$H$12,2,0)</f>
        <v>1</v>
      </c>
      <c r="AE396">
        <f>+VLOOKUP(M396,Evalua!$G$2:$H$12,2,0)</f>
        <v>2</v>
      </c>
    </row>
    <row r="397" spans="1:31" hidden="1" x14ac:dyDescent="0.2">
      <c r="A397" s="1" t="s">
        <v>1770</v>
      </c>
      <c r="B397" t="s">
        <v>1481</v>
      </c>
      <c r="G397" t="s">
        <v>1481</v>
      </c>
      <c r="H397" t="s">
        <v>153</v>
      </c>
      <c r="I397" t="s">
        <v>26</v>
      </c>
      <c r="J397" t="s">
        <v>1370</v>
      </c>
      <c r="K397" t="s">
        <v>27</v>
      </c>
      <c r="L397" t="s">
        <v>28</v>
      </c>
      <c r="M397" t="s">
        <v>29</v>
      </c>
      <c r="N397" t="str">
        <f>+VLOOKUP(A397,[1]Buscador!$B:$E,4,0)</f>
        <v>Quito</v>
      </c>
      <c r="O397" t="str">
        <f>+VLOOKUP(A397,[1]Buscador!$B:$F,5,0)</f>
        <v>Pichincha</v>
      </c>
      <c r="P397" t="s">
        <v>31</v>
      </c>
      <c r="Q397">
        <v>150</v>
      </c>
      <c r="R397">
        <v>8.5</v>
      </c>
      <c r="S397" t="s">
        <v>32</v>
      </c>
      <c r="T397" t="s">
        <v>33</v>
      </c>
      <c r="U397" t="s">
        <v>1481</v>
      </c>
      <c r="V397" t="s">
        <v>153</v>
      </c>
      <c r="X397" t="s">
        <v>1771</v>
      </c>
      <c r="Z397" t="s">
        <v>1953</v>
      </c>
      <c r="AA397">
        <v>-0.17596927121457001</v>
      </c>
      <c r="AB397">
        <v>-78.482782898148002</v>
      </c>
      <c r="AC397">
        <v>0</v>
      </c>
      <c r="AD397">
        <f>+VLOOKUP(L397,Evalua!$G$2:$H$12,2,0)</f>
        <v>1</v>
      </c>
      <c r="AE397">
        <f>+VLOOKUP(M397,Evalua!$G$2:$H$12,2,0)</f>
        <v>2</v>
      </c>
    </row>
    <row r="398" spans="1:31" hidden="1" x14ac:dyDescent="0.2">
      <c r="A398" s="1" t="s">
        <v>158</v>
      </c>
      <c r="B398" t="s">
        <v>107</v>
      </c>
      <c r="G398" t="s">
        <v>107</v>
      </c>
      <c r="H398" t="s">
        <v>153</v>
      </c>
      <c r="I398" t="s">
        <v>26</v>
      </c>
      <c r="J398" t="s">
        <v>136</v>
      </c>
      <c r="K398" t="s">
        <v>159</v>
      </c>
      <c r="L398" t="s">
        <v>28</v>
      </c>
      <c r="M398" t="s">
        <v>160</v>
      </c>
      <c r="N398" t="str">
        <f>+VLOOKUP(A398,[1]Buscador!$B:$E,4,0)</f>
        <v>Cuenca</v>
      </c>
      <c r="O398" t="str">
        <f>+VLOOKUP(A398,[1]Buscador!$B:$F,5,0)</f>
        <v>Azuay</v>
      </c>
      <c r="P398" t="s">
        <v>31</v>
      </c>
      <c r="S398" t="s">
        <v>162</v>
      </c>
      <c r="T398" t="s">
        <v>83</v>
      </c>
      <c r="U398" t="s">
        <v>107</v>
      </c>
      <c r="V398" t="s">
        <v>153</v>
      </c>
      <c r="W398" t="s">
        <v>163</v>
      </c>
      <c r="X398" t="s">
        <v>164</v>
      </c>
      <c r="Y398" t="s">
        <v>165</v>
      </c>
      <c r="Z398" t="s">
        <v>166</v>
      </c>
      <c r="AA398">
        <v>-2.881478</v>
      </c>
      <c r="AB398">
        <v>-78.975128999999995</v>
      </c>
      <c r="AC398">
        <v>0</v>
      </c>
      <c r="AD398">
        <f>+VLOOKUP(L398,Evalua!$G$2:$H$12,2,0)</f>
        <v>1</v>
      </c>
      <c r="AE398">
        <f>+VLOOKUP(M398,Evalua!$G$2:$H$12,2,0)</f>
        <v>1</v>
      </c>
    </row>
    <row r="399" spans="1:31" hidden="1" x14ac:dyDescent="0.2">
      <c r="A399" s="1" t="s">
        <v>141</v>
      </c>
      <c r="B399" t="s">
        <v>90</v>
      </c>
      <c r="G399" t="s">
        <v>90</v>
      </c>
      <c r="H399" t="s">
        <v>153</v>
      </c>
      <c r="I399" t="s">
        <v>26</v>
      </c>
      <c r="J399" t="s">
        <v>136</v>
      </c>
      <c r="K399" t="s">
        <v>27</v>
      </c>
      <c r="L399" t="s">
        <v>28</v>
      </c>
      <c r="M399" t="s">
        <v>29</v>
      </c>
      <c r="N399" t="str">
        <f>+VLOOKUP(A399,[1]Buscador!$B:$E,4,0)</f>
        <v>Quito</v>
      </c>
      <c r="O399" t="str">
        <f>+VLOOKUP(A399,[1]Buscador!$B:$F,5,0)</f>
        <v>Pichincha</v>
      </c>
      <c r="P399" t="s">
        <v>31</v>
      </c>
      <c r="S399" t="s">
        <v>32</v>
      </c>
      <c r="T399" t="s">
        <v>33</v>
      </c>
      <c r="U399" t="s">
        <v>90</v>
      </c>
      <c r="V399" t="s">
        <v>153</v>
      </c>
      <c r="W399" t="s">
        <v>142</v>
      </c>
      <c r="X399" t="s">
        <v>143</v>
      </c>
      <c r="Y399" t="s">
        <v>144</v>
      </c>
      <c r="Z399" t="s">
        <v>145</v>
      </c>
      <c r="AA399">
        <v>-0.30416769240000002</v>
      </c>
      <c r="AB399">
        <v>-78.5427389914</v>
      </c>
      <c r="AC399">
        <v>0</v>
      </c>
      <c r="AD399">
        <f>+VLOOKUP(L399,Evalua!$G$2:$H$12,2,0)</f>
        <v>1</v>
      </c>
      <c r="AE399">
        <f>+VLOOKUP(M399,Evalua!$G$2:$H$12,2,0)</f>
        <v>2</v>
      </c>
    </row>
    <row r="400" spans="1:31" hidden="1" x14ac:dyDescent="0.2">
      <c r="A400" s="1" t="s">
        <v>135</v>
      </c>
      <c r="B400" t="s">
        <v>84</v>
      </c>
      <c r="G400" t="s">
        <v>84</v>
      </c>
      <c r="H400" t="s">
        <v>153</v>
      </c>
      <c r="I400" t="s">
        <v>26</v>
      </c>
      <c r="J400" t="s">
        <v>136</v>
      </c>
      <c r="K400" t="s">
        <v>27</v>
      </c>
      <c r="L400" t="s">
        <v>28</v>
      </c>
      <c r="M400" t="s">
        <v>29</v>
      </c>
      <c r="N400" t="str">
        <f>+VLOOKUP(A400,[1]Buscador!$B:$E,4,0)</f>
        <v>Carapungo</v>
      </c>
      <c r="O400" t="str">
        <f>+VLOOKUP(A400,[1]Buscador!$B:$F,5,0)</f>
        <v>Pichincha</v>
      </c>
      <c r="P400" t="s">
        <v>31</v>
      </c>
      <c r="Q400">
        <v>5</v>
      </c>
      <c r="R400">
        <v>8.5</v>
      </c>
      <c r="S400" t="s">
        <v>32</v>
      </c>
      <c r="T400" t="s">
        <v>33</v>
      </c>
      <c r="U400" t="s">
        <v>84</v>
      </c>
      <c r="V400" t="s">
        <v>153</v>
      </c>
      <c r="W400" t="s">
        <v>137</v>
      </c>
      <c r="X400" t="s">
        <v>138</v>
      </c>
      <c r="Y400" t="s">
        <v>139</v>
      </c>
      <c r="Z400" t="s">
        <v>140</v>
      </c>
      <c r="AA400">
        <v>-0.1057292371</v>
      </c>
      <c r="AB400">
        <v>-78.443399190899996</v>
      </c>
      <c r="AC400">
        <v>0</v>
      </c>
      <c r="AD400">
        <f>+VLOOKUP(L400,Evalua!$G$2:$H$12,2,0)</f>
        <v>1</v>
      </c>
      <c r="AE400">
        <f>+VLOOKUP(M400,Evalua!$G$2:$H$12,2,0)</f>
        <v>2</v>
      </c>
    </row>
    <row r="401" spans="1:31" hidden="1" x14ac:dyDescent="0.2">
      <c r="A401" s="1" t="s">
        <v>1385</v>
      </c>
      <c r="B401" t="s">
        <v>1234</v>
      </c>
      <c r="G401" t="s">
        <v>1234</v>
      </c>
      <c r="H401" t="s">
        <v>153</v>
      </c>
      <c r="I401" t="s">
        <v>26</v>
      </c>
      <c r="J401" t="s">
        <v>136</v>
      </c>
      <c r="K401" t="s">
        <v>27</v>
      </c>
      <c r="L401" t="s">
        <v>28</v>
      </c>
      <c r="M401" t="s">
        <v>29</v>
      </c>
      <c r="N401" t="str">
        <f>+VLOOKUP(A401,[1]Buscador!$B:$E,4,0)</f>
        <v>Sangolquí</v>
      </c>
      <c r="O401" t="str">
        <f>+VLOOKUP(A401,[1]Buscador!$B:$F,5,0)</f>
        <v>Pichincha</v>
      </c>
      <c r="P401" t="s">
        <v>31</v>
      </c>
      <c r="S401" t="s">
        <v>32</v>
      </c>
      <c r="T401" t="s">
        <v>33</v>
      </c>
      <c r="U401" t="s">
        <v>1234</v>
      </c>
      <c r="V401" t="s">
        <v>153</v>
      </c>
      <c r="W401" t="s">
        <v>304</v>
      </c>
      <c r="X401" t="s">
        <v>1386</v>
      </c>
      <c r="Y401" t="s">
        <v>1387</v>
      </c>
      <c r="Z401" t="s">
        <v>1388</v>
      </c>
      <c r="AA401">
        <v>-0.34977342690000002</v>
      </c>
      <c r="AB401">
        <v>-78.458460733199999</v>
      </c>
      <c r="AC401">
        <v>0</v>
      </c>
      <c r="AD401">
        <f>+VLOOKUP(L401,Evalua!$G$2:$H$12,2,0)</f>
        <v>1</v>
      </c>
      <c r="AE401">
        <f>+VLOOKUP(M401,Evalua!$G$2:$H$12,2,0)</f>
        <v>2</v>
      </c>
    </row>
    <row r="402" spans="1:31" hidden="1" x14ac:dyDescent="0.2">
      <c r="A402" s="1" t="s">
        <v>1702</v>
      </c>
      <c r="B402" t="s">
        <v>1425</v>
      </c>
      <c r="G402" t="s">
        <v>1425</v>
      </c>
      <c r="H402" t="s">
        <v>153</v>
      </c>
      <c r="I402" t="s">
        <v>26</v>
      </c>
      <c r="J402" t="s">
        <v>39</v>
      </c>
      <c r="K402" t="s">
        <v>27</v>
      </c>
      <c r="L402" t="s">
        <v>28</v>
      </c>
      <c r="M402" t="s">
        <v>29</v>
      </c>
      <c r="N402" t="str">
        <f>+VLOOKUP(A402,[1]Buscador!$B:$E,4,0)</f>
        <v>Carapungo</v>
      </c>
      <c r="O402" t="str">
        <f>+VLOOKUP(A402,[1]Buscador!$B:$F,5,0)</f>
        <v>Pichincha</v>
      </c>
      <c r="P402" t="s">
        <v>31</v>
      </c>
      <c r="S402" t="s">
        <v>32</v>
      </c>
      <c r="T402" t="s">
        <v>33</v>
      </c>
      <c r="U402" t="s">
        <v>1425</v>
      </c>
      <c r="V402" t="s">
        <v>153</v>
      </c>
      <c r="X402" t="s">
        <v>1703</v>
      </c>
      <c r="Z402" t="s">
        <v>1942</v>
      </c>
      <c r="AA402">
        <v>-0.10817009322543</v>
      </c>
      <c r="AB402">
        <v>-78.458035635581993</v>
      </c>
      <c r="AC402">
        <v>0</v>
      </c>
      <c r="AD402">
        <f>+VLOOKUP(L402,Evalua!$G$2:$H$12,2,0)</f>
        <v>1</v>
      </c>
      <c r="AE402">
        <f>+VLOOKUP(M402,Evalua!$G$2:$H$12,2,0)</f>
        <v>2</v>
      </c>
    </row>
    <row r="403" spans="1:31" hidden="1" x14ac:dyDescent="0.2">
      <c r="A403" s="1" t="s">
        <v>1672</v>
      </c>
      <c r="B403" t="s">
        <v>1404</v>
      </c>
      <c r="D403" t="s">
        <v>1990</v>
      </c>
      <c r="E403" t="s">
        <v>2020</v>
      </c>
      <c r="G403" t="s">
        <v>1404</v>
      </c>
      <c r="H403" t="s">
        <v>153</v>
      </c>
      <c r="I403" t="s">
        <v>26</v>
      </c>
      <c r="J403" t="s">
        <v>39</v>
      </c>
      <c r="K403" t="s">
        <v>27</v>
      </c>
      <c r="L403" t="s">
        <v>28</v>
      </c>
      <c r="M403" t="s">
        <v>29</v>
      </c>
      <c r="N403" t="str">
        <f>+VLOOKUP(A403,[1]Buscador!$B:$E,4,0)</f>
        <v>Ambato</v>
      </c>
      <c r="O403" t="str">
        <f>+VLOOKUP(A403,[1]Buscador!$B:$F,5,0)</f>
        <v>Tungurahua</v>
      </c>
      <c r="P403" t="s">
        <v>31</v>
      </c>
      <c r="S403" t="s">
        <v>32</v>
      </c>
      <c r="T403" t="s">
        <v>33</v>
      </c>
      <c r="U403" t="s">
        <v>1404</v>
      </c>
      <c r="V403" t="s">
        <v>153</v>
      </c>
      <c r="X403" t="s">
        <v>1673</v>
      </c>
      <c r="Z403" t="s">
        <v>1938</v>
      </c>
      <c r="AA403">
        <v>-1.2639733631126999</v>
      </c>
      <c r="AB403">
        <v>-78.640127976860001</v>
      </c>
      <c r="AC403">
        <v>0</v>
      </c>
      <c r="AD403">
        <f>+VLOOKUP(L403,Evalua!$G$2:$H$12,2,0)</f>
        <v>1</v>
      </c>
      <c r="AE403">
        <f>+VLOOKUP(M403,Evalua!$G$2:$H$12,2,0)</f>
        <v>2</v>
      </c>
    </row>
    <row r="404" spans="1:31" hidden="1" x14ac:dyDescent="0.2">
      <c r="A404" s="1" t="s">
        <v>151</v>
      </c>
      <c r="B404" t="s">
        <v>100</v>
      </c>
      <c r="G404" t="s">
        <v>100</v>
      </c>
      <c r="H404" t="s">
        <v>153</v>
      </c>
      <c r="I404" t="s">
        <v>26</v>
      </c>
      <c r="J404" t="s">
        <v>136</v>
      </c>
      <c r="K404" t="s">
        <v>27</v>
      </c>
      <c r="L404" t="s">
        <v>28</v>
      </c>
      <c r="M404" t="s">
        <v>29</v>
      </c>
      <c r="N404" t="str">
        <f>+VLOOKUP(A404,[1]Buscador!$B:$E,4,0)</f>
        <v>San Juan deI lumán</v>
      </c>
      <c r="O404" t="str">
        <f>+VLOOKUP(A404,[1]Buscador!$B:$F,5,0)</f>
        <v>Imbabura</v>
      </c>
      <c r="P404" t="s">
        <v>153</v>
      </c>
      <c r="S404" t="s">
        <v>32</v>
      </c>
      <c r="T404" t="s">
        <v>33</v>
      </c>
      <c r="U404" t="s">
        <v>100</v>
      </c>
      <c r="V404" t="s">
        <v>153</v>
      </c>
      <c r="W404" t="s">
        <v>154</v>
      </c>
      <c r="X404" t="s">
        <v>155</v>
      </c>
      <c r="Y404" t="s">
        <v>156</v>
      </c>
      <c r="Z404" t="s">
        <v>157</v>
      </c>
      <c r="AA404">
        <v>0.27613900000000002</v>
      </c>
      <c r="AB404">
        <v>-78.239348000000007</v>
      </c>
      <c r="AC404">
        <v>0</v>
      </c>
      <c r="AD404">
        <f>+VLOOKUP(L404,Evalua!$G$2:$H$12,2,0)</f>
        <v>1</v>
      </c>
      <c r="AE404">
        <f>+VLOOKUP(M404,Evalua!$G$2:$H$12,2,0)</f>
        <v>2</v>
      </c>
    </row>
    <row r="405" spans="1:31" hidden="1" x14ac:dyDescent="0.2">
      <c r="A405" s="1" t="s">
        <v>1572</v>
      </c>
      <c r="B405" t="s">
        <v>1326</v>
      </c>
      <c r="D405" t="s">
        <v>1990</v>
      </c>
      <c r="E405" t="s">
        <v>1997</v>
      </c>
      <c r="G405" t="s">
        <v>1326</v>
      </c>
      <c r="H405" t="s">
        <v>153</v>
      </c>
      <c r="I405" t="s">
        <v>26</v>
      </c>
      <c r="J405" t="s">
        <v>136</v>
      </c>
      <c r="K405" t="s">
        <v>46</v>
      </c>
      <c r="L405" t="s">
        <v>28</v>
      </c>
      <c r="M405" t="s">
        <v>29</v>
      </c>
      <c r="N405" t="str">
        <f>+VLOOKUP(A405,[1]Buscador!$B:$E,4,0)</f>
        <v>Guayaquil</v>
      </c>
      <c r="O405" t="str">
        <f>+VLOOKUP(A405,[1]Buscador!$B:$F,5,0)</f>
        <v>Guayas</v>
      </c>
      <c r="P405" t="s">
        <v>153</v>
      </c>
      <c r="S405" t="s">
        <v>32</v>
      </c>
      <c r="T405" t="s">
        <v>33</v>
      </c>
      <c r="U405" t="s">
        <v>1326</v>
      </c>
      <c r="V405" t="s">
        <v>153</v>
      </c>
      <c r="X405" t="s">
        <v>1573</v>
      </c>
      <c r="Z405" t="s">
        <v>1924</v>
      </c>
      <c r="AA405">
        <v>-2.1902874256513001</v>
      </c>
      <c r="AB405">
        <v>-79.886598144367994</v>
      </c>
      <c r="AC405">
        <v>0</v>
      </c>
      <c r="AD405">
        <f>+VLOOKUP(L405,Evalua!$G$2:$H$12,2,0)</f>
        <v>1</v>
      </c>
      <c r="AE405">
        <f>+VLOOKUP(M405,Evalua!$G$2:$H$12,2,0)</f>
        <v>2</v>
      </c>
    </row>
    <row r="406" spans="1:31" hidden="1" x14ac:dyDescent="0.2">
      <c r="A406" s="1" t="s">
        <v>1788</v>
      </c>
      <c r="B406" t="s">
        <v>1497</v>
      </c>
      <c r="D406" t="s">
        <v>2002</v>
      </c>
      <c r="E406" t="s">
        <v>1997</v>
      </c>
      <c r="G406" t="s">
        <v>1786</v>
      </c>
      <c r="H406" t="s">
        <v>153</v>
      </c>
      <c r="I406" t="s">
        <v>26</v>
      </c>
      <c r="J406" t="s">
        <v>39</v>
      </c>
      <c r="K406" t="s">
        <v>46</v>
      </c>
      <c r="L406" t="s">
        <v>28</v>
      </c>
      <c r="M406" t="s">
        <v>29</v>
      </c>
      <c r="N406" t="str">
        <f>+VLOOKUP(A406,[1]Buscador!$B:$E,4,0)</f>
        <v>Samborondón</v>
      </c>
      <c r="O406" t="str">
        <f>+VLOOKUP(A406,[1]Buscador!$B:$F,5,0)</f>
        <v>Guayas</v>
      </c>
      <c r="P406" t="s">
        <v>31</v>
      </c>
      <c r="S406" t="s">
        <v>32</v>
      </c>
      <c r="T406" t="s">
        <v>33</v>
      </c>
      <c r="U406" t="s">
        <v>1497</v>
      </c>
      <c r="V406" t="s">
        <v>153</v>
      </c>
      <c r="X406" t="s">
        <v>1789</v>
      </c>
      <c r="Z406" t="s">
        <v>1956</v>
      </c>
      <c r="AA406">
        <v>-2.1451959999999999</v>
      </c>
      <c r="AB406">
        <v>-79.863518999999997</v>
      </c>
      <c r="AC406">
        <v>0</v>
      </c>
      <c r="AD406">
        <f>+VLOOKUP(L406,Evalua!$G$2:$H$12,2,0)</f>
        <v>1</v>
      </c>
      <c r="AE406">
        <f>+VLOOKUP(M406,Evalua!$G$2:$H$12,2,0)</f>
        <v>2</v>
      </c>
    </row>
    <row r="407" spans="1:31" hidden="1" x14ac:dyDescent="0.2">
      <c r="A407" s="1" t="s">
        <v>1265</v>
      </c>
      <c r="B407" t="s">
        <v>1188</v>
      </c>
      <c r="D407" t="s">
        <v>1990</v>
      </c>
      <c r="E407" t="s">
        <v>2001</v>
      </c>
      <c r="G407" t="s">
        <v>1188</v>
      </c>
      <c r="H407" t="s">
        <v>153</v>
      </c>
      <c r="I407" t="s">
        <v>26</v>
      </c>
      <c r="J407" t="s">
        <v>64</v>
      </c>
      <c r="K407" t="s">
        <v>46</v>
      </c>
      <c r="L407" t="s">
        <v>28</v>
      </c>
      <c r="M407" t="s">
        <v>29</v>
      </c>
      <c r="N407" t="str">
        <f>+VLOOKUP(A407,[1]Buscador!$B:$E,4,0)</f>
        <v>Guayaquil</v>
      </c>
      <c r="O407" t="str">
        <f>+VLOOKUP(A407,[1]Buscador!$B:$F,5,0)</f>
        <v>Guayas</v>
      </c>
      <c r="P407" t="s">
        <v>153</v>
      </c>
      <c r="S407" t="s">
        <v>32</v>
      </c>
      <c r="T407" t="s">
        <v>33</v>
      </c>
      <c r="U407" t="s">
        <v>1188</v>
      </c>
      <c r="V407" t="s">
        <v>153</v>
      </c>
      <c r="W407" t="s">
        <v>1266</v>
      </c>
      <c r="X407" t="s">
        <v>1267</v>
      </c>
      <c r="Y407" t="s">
        <v>1268</v>
      </c>
      <c r="Z407" t="s">
        <v>1264</v>
      </c>
      <c r="AA407">
        <v>-2.1821773073999999</v>
      </c>
      <c r="AB407">
        <v>-79.902534732500001</v>
      </c>
      <c r="AC407">
        <v>0</v>
      </c>
      <c r="AD407">
        <f>+VLOOKUP(L407,Evalua!$G$2:$H$12,2,0)</f>
        <v>1</v>
      </c>
      <c r="AE407">
        <f>+VLOOKUP(M407,Evalua!$G$2:$H$12,2,0)</f>
        <v>2</v>
      </c>
    </row>
    <row r="408" spans="1:31" hidden="1" x14ac:dyDescent="0.2">
      <c r="A408" s="1" t="s">
        <v>1865</v>
      </c>
      <c r="B408" t="s">
        <v>1560</v>
      </c>
      <c r="G408" t="s">
        <v>1560</v>
      </c>
      <c r="H408" t="s">
        <v>153</v>
      </c>
      <c r="I408" t="s">
        <v>26</v>
      </c>
      <c r="J408" t="s">
        <v>136</v>
      </c>
      <c r="K408" t="s">
        <v>27</v>
      </c>
      <c r="L408" t="s">
        <v>28</v>
      </c>
      <c r="M408" t="s">
        <v>29</v>
      </c>
      <c r="N408" t="str">
        <f>+VLOOKUP(A408,[1]Buscador!$B:$E,4,0)</f>
        <v>Cumbaya</v>
      </c>
      <c r="O408" t="str">
        <f>+VLOOKUP(A408,[1]Buscador!$B:$F,5,0)</f>
        <v>Pichincha</v>
      </c>
      <c r="P408" t="s">
        <v>31</v>
      </c>
      <c r="S408" t="s">
        <v>32</v>
      </c>
      <c r="T408" t="s">
        <v>33</v>
      </c>
      <c r="U408" t="s">
        <v>1560</v>
      </c>
      <c r="V408" t="s">
        <v>153</v>
      </c>
      <c r="X408" t="s">
        <v>1866</v>
      </c>
      <c r="Z408" t="s">
        <v>1216</v>
      </c>
      <c r="AA408">
        <v>-0.19676299999999999</v>
      </c>
      <c r="AB408">
        <v>-78.435912999999999</v>
      </c>
      <c r="AC408">
        <v>0</v>
      </c>
      <c r="AD408">
        <f>+VLOOKUP(L408,Evalua!$G$2:$H$12,2,0)</f>
        <v>1</v>
      </c>
      <c r="AE408">
        <f>+VLOOKUP(M408,Evalua!$G$2:$H$12,2,0)</f>
        <v>2</v>
      </c>
    </row>
    <row r="409" spans="1:31" hidden="1" x14ac:dyDescent="0.2">
      <c r="A409" t="s">
        <v>1983</v>
      </c>
      <c r="B409" t="s">
        <v>1978</v>
      </c>
      <c r="G409" t="s">
        <v>1978</v>
      </c>
      <c r="I409" t="s">
        <v>26</v>
      </c>
      <c r="J409" t="s">
        <v>2</v>
      </c>
      <c r="L409" t="s">
        <v>28</v>
      </c>
      <c r="M409" t="s">
        <v>234</v>
      </c>
      <c r="N409" t="s">
        <v>1986</v>
      </c>
      <c r="O409" t="s">
        <v>1912</v>
      </c>
      <c r="P409" t="s">
        <v>31</v>
      </c>
      <c r="S409" t="s">
        <v>32</v>
      </c>
      <c r="U409" t="str">
        <f>B409</f>
        <v>MALL DEL ALTO</v>
      </c>
      <c r="V409" t="s">
        <v>153</v>
      </c>
      <c r="Z409" t="s">
        <v>1982</v>
      </c>
      <c r="AA409">
        <v>-2.9212715434676202</v>
      </c>
      <c r="AB409">
        <v>-79.015012422895197</v>
      </c>
      <c r="AC409">
        <v>0</v>
      </c>
      <c r="AD409">
        <f>+VLOOKUP(L409,Evalua!$G$2:$H$12,2,0)</f>
        <v>1</v>
      </c>
      <c r="AE409">
        <f>+VLOOKUP(M409,Evalua!$G$2:$H$12,2,0)</f>
        <v>3</v>
      </c>
    </row>
    <row r="421" spans="4:10" x14ac:dyDescent="0.2">
      <c r="D421" s="4"/>
      <c r="E421" s="5"/>
    </row>
    <row r="424" spans="4:10" x14ac:dyDescent="0.2">
      <c r="E424" s="6"/>
      <c r="H424" s="7"/>
      <c r="J424" s="7"/>
    </row>
    <row r="425" spans="4:10" x14ac:dyDescent="0.2">
      <c r="E425" s="6"/>
      <c r="H425" s="7"/>
    </row>
    <row r="426" spans="4:10" x14ac:dyDescent="0.2">
      <c r="E426" s="6"/>
      <c r="H426" s="7"/>
    </row>
    <row r="427" spans="4:10" x14ac:dyDescent="0.2">
      <c r="E427" s="6"/>
      <c r="H427" s="7"/>
    </row>
    <row r="428" spans="4:10" x14ac:dyDescent="0.2">
      <c r="E428" s="6"/>
      <c r="H428" s="7"/>
    </row>
  </sheetData>
  <autoFilter ref="A1:AE409" xr:uid="{00000000-0001-0000-0000-000000000000}">
    <filterColumn colId="1">
      <filters>
        <filter val="ATM - PRIMAX, PORTETE, AV. JOSE R"/>
      </filters>
    </filterColumn>
    <filterColumn colId="14">
      <filters>
        <filter val="Esmeraldas"/>
        <filter val="Galápagos"/>
        <filter val="Guayas"/>
        <filter val="Los Ríos"/>
        <filter val="Manabí"/>
        <filter val="Santa Elen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+_xlfn.UNIQUE(Hoja1!L:L)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+_xlfn.UNIQUE(Hoja1!M:M)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Baja (Línea prioritaria)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Alta (Corte inmediato)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2026-09-10T22:10:54Z</dcterms:modified>
</cp:coreProperties>
</file>