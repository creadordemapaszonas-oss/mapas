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ownloads\"/>
    </mc:Choice>
  </mc:AlternateContent>
  <xr:revisionPtr revIDLastSave="0" documentId="13_ncr:1_{66B1331E-875E-4533-AEE6-F284E533E431}" xr6:coauthVersionLast="47" xr6:coauthVersionMax="47" xr10:uidLastSave="{00000000-0000-0000-0000-000000000000}"/>
  <bookViews>
    <workbookView xWindow="20370" yWindow="-120" windowWidth="29040" windowHeight="15720" xr2:uid="{70D5FB75-D1C8-49EF-8794-D8FA008CCCB6}"/>
  </bookViews>
  <sheets>
    <sheet name="Buscador" sheetId="1" r:id="rId1"/>
  </sheets>
  <externalReferences>
    <externalReference r:id="rId2"/>
  </externalReferences>
  <definedNames>
    <definedName name="_xlnm._FilterDatabase" localSheetId="0" hidden="1">Buscador!$A$1:$H$425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24" i="1" l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428" i="1" l="1"/>
  <c r="G187" i="1"/>
  <c r="G401" i="1"/>
  <c r="G394" i="1"/>
  <c r="G393" i="1"/>
  <c r="G391" i="1"/>
  <c r="G390" i="1"/>
  <c r="G387" i="1"/>
  <c r="G382" i="1"/>
  <c r="G381" i="1"/>
  <c r="G377" i="1"/>
  <c r="G374" i="1"/>
  <c r="G373" i="1"/>
  <c r="G372" i="1"/>
  <c r="G371" i="1"/>
  <c r="G370" i="1"/>
  <c r="G369" i="1"/>
  <c r="G368" i="1"/>
  <c r="G365" i="1"/>
  <c r="G364" i="1"/>
  <c r="G359" i="1"/>
  <c r="G356" i="1"/>
  <c r="G349" i="1"/>
  <c r="G348" i="1"/>
  <c r="G347" i="1"/>
  <c r="G346" i="1"/>
  <c r="G345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3" i="1"/>
  <c r="G321" i="1"/>
  <c r="G317" i="1"/>
  <c r="G304" i="1"/>
  <c r="G303" i="1"/>
  <c r="G302" i="1"/>
  <c r="G299" i="1"/>
  <c r="G298" i="1"/>
  <c r="G297" i="1"/>
  <c r="G296" i="1"/>
  <c r="G295" i="1"/>
  <c r="G294" i="1"/>
  <c r="G293" i="1"/>
  <c r="G292" i="1"/>
  <c r="G289" i="1"/>
  <c r="G288" i="1"/>
  <c r="G287" i="1"/>
  <c r="G286" i="1"/>
  <c r="G273" i="1"/>
  <c r="G270" i="1"/>
  <c r="G266" i="1"/>
  <c r="G265" i="1"/>
  <c r="G264" i="1"/>
  <c r="G263" i="1"/>
  <c r="G257" i="1"/>
  <c r="G256" i="1"/>
  <c r="G252" i="1"/>
  <c r="G251" i="1"/>
  <c r="G250" i="1"/>
  <c r="G249" i="1"/>
  <c r="G248" i="1"/>
  <c r="G247" i="1"/>
  <c r="G245" i="1"/>
  <c r="G244" i="1"/>
  <c r="G243" i="1"/>
  <c r="G242" i="1"/>
  <c r="G238" i="1"/>
  <c r="G227" i="1"/>
  <c r="G226" i="1"/>
  <c r="G223" i="1"/>
  <c r="G222" i="1"/>
  <c r="G221" i="1"/>
  <c r="G217" i="1"/>
  <c r="G216" i="1"/>
  <c r="G209" i="1"/>
  <c r="G208" i="1"/>
  <c r="G207" i="1"/>
  <c r="G206" i="1"/>
  <c r="G205" i="1"/>
  <c r="G204" i="1"/>
  <c r="G203" i="1"/>
  <c r="G202" i="1"/>
  <c r="G198" i="1"/>
  <c r="G196" i="1"/>
  <c r="G195" i="1"/>
  <c r="G194" i="1"/>
  <c r="G193" i="1"/>
  <c r="G192" i="1"/>
  <c r="G186" i="1"/>
  <c r="G183" i="1"/>
  <c r="G182" i="1"/>
  <c r="G181" i="1"/>
  <c r="G180" i="1"/>
  <c r="G179" i="1"/>
  <c r="G178" i="1"/>
  <c r="G169" i="1"/>
  <c r="G168" i="1"/>
  <c r="G167" i="1"/>
  <c r="G166" i="1"/>
  <c r="G162" i="1"/>
  <c r="G158" i="1"/>
  <c r="G155" i="1"/>
  <c r="G154" i="1"/>
  <c r="G153" i="1"/>
  <c r="G152" i="1"/>
  <c r="G151" i="1"/>
  <c r="G150" i="1"/>
  <c r="G149" i="1"/>
  <c r="G146" i="1"/>
  <c r="G145" i="1"/>
  <c r="G144" i="1"/>
  <c r="G143" i="1"/>
  <c r="G140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0" i="1"/>
  <c r="G119" i="1"/>
  <c r="G118" i="1"/>
  <c r="G115" i="1"/>
  <c r="G114" i="1"/>
  <c r="G111" i="1"/>
  <c r="G110" i="1"/>
  <c r="G107" i="1"/>
  <c r="G104" i="1"/>
  <c r="G101" i="1"/>
  <c r="G100" i="1"/>
  <c r="G99" i="1"/>
  <c r="G98" i="1"/>
  <c r="G95" i="1"/>
  <c r="G91" i="1"/>
  <c r="G87" i="1"/>
  <c r="G82" i="1"/>
  <c r="G80" i="1"/>
  <c r="G77" i="1"/>
  <c r="G76" i="1"/>
  <c r="G73" i="1"/>
  <c r="G71" i="1"/>
  <c r="G70" i="1"/>
  <c r="G69" i="1"/>
  <c r="G64" i="1"/>
  <c r="G63" i="1"/>
  <c r="G58" i="1"/>
  <c r="G54" i="1"/>
  <c r="G53" i="1"/>
  <c r="G45" i="1"/>
  <c r="G44" i="1"/>
  <c r="G43" i="1"/>
  <c r="G38" i="1"/>
  <c r="G33" i="1"/>
  <c r="G32" i="1"/>
  <c r="G24" i="1"/>
  <c r="G23" i="1"/>
  <c r="G22" i="1"/>
  <c r="G21" i="1"/>
  <c r="G20" i="1"/>
  <c r="G17" i="1"/>
  <c r="G16" i="1"/>
  <c r="G15" i="1"/>
  <c r="G14" i="1"/>
  <c r="G10" i="1"/>
  <c r="G7" i="1"/>
  <c r="G6" i="1"/>
  <c r="G5" i="1"/>
  <c r="G4" i="1"/>
</calcChain>
</file>

<file path=xl/sharedStrings.xml><?xml version="1.0" encoding="utf-8"?>
<sst xmlns="http://schemas.openxmlformats.org/spreadsheetml/2006/main" count="2382" uniqueCount="1289">
  <si>
    <t>OFICINA</t>
  </si>
  <si>
    <t>ID</t>
  </si>
  <si>
    <t>ID IN OUT</t>
  </si>
  <si>
    <t>GEOLOCALIZACIÓN</t>
  </si>
  <si>
    <t>Ciudad</t>
  </si>
  <si>
    <t>Provincia</t>
  </si>
  <si>
    <t>OF. URDESA 1</t>
  </si>
  <si>
    <t>-2.175465, -79.904725</t>
  </si>
  <si>
    <t>Guayaquil</t>
  </si>
  <si>
    <t>Guayas</t>
  </si>
  <si>
    <t>OF. ALBORADA AUTOCAJERO</t>
  </si>
  <si>
    <t>-2.1477533987468, -79.899858642948</t>
  </si>
  <si>
    <t>OF. SANTO DOMINGO</t>
  </si>
  <si>
    <t>-0.25177914970625, -79.164858575815</t>
  </si>
  <si>
    <t>Santo Domingo de los Tsachilas</t>
  </si>
  <si>
    <t>Santo Domingo de los Tsáchilas</t>
  </si>
  <si>
    <t>OF. QUEVEDO</t>
  </si>
  <si>
    <t>-1.0240457901493, -79.465783077013</t>
  </si>
  <si>
    <t>Quevedo</t>
  </si>
  <si>
    <t>Los Ríos</t>
  </si>
  <si>
    <t>OF. MACHALA</t>
  </si>
  <si>
    <t>-3.2603292549264, -79.959522265012</t>
  </si>
  <si>
    <t>Machala</t>
  </si>
  <si>
    <t>El Oro</t>
  </si>
  <si>
    <t>OF. AMAZONAS</t>
  </si>
  <si>
    <t>-0.197589, -78.489526</t>
  </si>
  <si>
    <t>Quito</t>
  </si>
  <si>
    <t>Pichincha</t>
  </si>
  <si>
    <t>OF. CENTENARIO</t>
  </si>
  <si>
    <t>-2.2151156802047, -79.889049472387</t>
  </si>
  <si>
    <t>OF. CENTRO HISTORICO DE CUE</t>
  </si>
  <si>
    <t>-2.8980204687422, -79.002912303961</t>
  </si>
  <si>
    <t>Cuenca</t>
  </si>
  <si>
    <t>Azuay</t>
  </si>
  <si>
    <t>OF. SUC. QUITO HALL 1</t>
  </si>
  <si>
    <t>-0.17596927121457, -78.482782898148</t>
  </si>
  <si>
    <t>OF. SUC. QUITO HALL 2</t>
  </si>
  <si>
    <t>C.C.RIOCENTRO LOS CEIBOS OF</t>
  </si>
  <si>
    <t>-2.1775527356936, -79.942488674591</t>
  </si>
  <si>
    <t>OF. MERCADO CENTRAL</t>
  </si>
  <si>
    <t>-2.1931403563253, -79.888195372799</t>
  </si>
  <si>
    <t>C.C. CALIFORNIA 1 OF.</t>
  </si>
  <si>
    <t>-2.098622, -79.936398</t>
  </si>
  <si>
    <t>GAS. TERPEL VIA COSTA</t>
  </si>
  <si>
    <t>-2.2147066028385, -80.079164378199</t>
  </si>
  <si>
    <t>C.C. MALECON</t>
  </si>
  <si>
    <t>-2.1975819991814, -79.880894023025</t>
  </si>
  <si>
    <t>GAS. MOBIL VIA DAULE OF.</t>
  </si>
  <si>
    <t>-2.100086508467039, -79.93606156414486</t>
  </si>
  <si>
    <t>HOSP. ROBERTO GILBERT OF</t>
  </si>
  <si>
    <t>-2.1759177515176, -79.884177649715</t>
  </si>
  <si>
    <t>C.C. RIO PLAZA OF.</t>
  </si>
  <si>
    <t>-2.145196, -79.863519</t>
  </si>
  <si>
    <t>Samborondón</t>
  </si>
  <si>
    <t>OF. MANTA</t>
  </si>
  <si>
    <t>-0.944159850919098, -80.7236031464606</t>
  </si>
  <si>
    <t>Manta</t>
  </si>
  <si>
    <t>Manabí</t>
  </si>
  <si>
    <t>C.C. RIOCENTRO ENTRE RIOS</t>
  </si>
  <si>
    <t>-2.1416837492179, -79.86476890903</t>
  </si>
  <si>
    <t>OF. DOMINGO COMIN</t>
  </si>
  <si>
    <t>-2.226104, -79.889969</t>
  </si>
  <si>
    <t>OF. PORTOVIEJO</t>
  </si>
  <si>
    <t>-1.0509264862944, -80.462363347939</t>
  </si>
  <si>
    <t>Portoviejo</t>
  </si>
  <si>
    <t>C.C. SAN MARINO 1 OF.</t>
  </si>
  <si>
    <t>-2.1694677273972, -79.89852522833</t>
  </si>
  <si>
    <t>OF. EL EMPALME</t>
  </si>
  <si>
    <t>-1.0423740464626, -79.637542364418</t>
  </si>
  <si>
    <t>El Empalme</t>
  </si>
  <si>
    <t>OF. BUENA FE</t>
  </si>
  <si>
    <t>-0.89612508624406, -79.490255462025</t>
  </si>
  <si>
    <t>San Jacinto de Buena Fe</t>
  </si>
  <si>
    <t>OF. SUC. CUENCA</t>
  </si>
  <si>
    <t>-2.905424, -79.003303</t>
  </si>
  <si>
    <t>OF. MATRIZ ANEXO 1</t>
  </si>
  <si>
    <t>-2.1901574203831116, -79.87989160148149</t>
  </si>
  <si>
    <t>OF. MATRIZ ANEXO 2</t>
  </si>
  <si>
    <t>PRIMAX 25 DE JULIO</t>
  </si>
  <si>
    <t>-2.22946, -79.897379</t>
  </si>
  <si>
    <t>OF. AMBATO CENTRO</t>
  </si>
  <si>
    <t>-1.2413417400182, -78.628491327921</t>
  </si>
  <si>
    <t>Ambato</t>
  </si>
  <si>
    <t>Tungurahua</t>
  </si>
  <si>
    <t>OF. ALBORADA PEATONAL</t>
  </si>
  <si>
    <t>OF. URDESA 2</t>
  </si>
  <si>
    <t>OF. LIBERTAD</t>
  </si>
  <si>
    <t>-2.2212702792257, -80.908197224537</t>
  </si>
  <si>
    <t>La Libertad</t>
  </si>
  <si>
    <t>Santa Elena</t>
  </si>
  <si>
    <t>UNIV. CATÓLICA DE GYE</t>
  </si>
  <si>
    <t>-2.182177307418713, -79.90253473254785</t>
  </si>
  <si>
    <t>C.C. POLICENTRO 1 OF.</t>
  </si>
  <si>
    <t>-2.171177, -79.900567</t>
  </si>
  <si>
    <t>OF. NORTE LA PRENSA</t>
  </si>
  <si>
    <t>-0.1524604, -78.4846344</t>
  </si>
  <si>
    <t>OF. LA TRONCAL</t>
  </si>
  <si>
    <t>-2.4231470858939, -79.343161462021</t>
  </si>
  <si>
    <t>La Troncal</t>
  </si>
  <si>
    <t>Cañar</t>
  </si>
  <si>
    <t>OF. 9 DE OCTUBRE</t>
  </si>
  <si>
    <t>-2.187578912005, -79.895072277516</t>
  </si>
  <si>
    <t>OF. LOJA</t>
  </si>
  <si>
    <t>-3.996452, -79.20356</t>
  </si>
  <si>
    <t>Loja</t>
  </si>
  <si>
    <t>OF. MILAGRO</t>
  </si>
  <si>
    <t>-2.128853, -79.591199</t>
  </si>
  <si>
    <t>Milagro</t>
  </si>
  <si>
    <t>C.C. PASEO MANTA</t>
  </si>
  <si>
    <t>-0.96635436268373, -80.705825555278</t>
  </si>
  <si>
    <t>C.C. PASEO LIBERTAD</t>
  </si>
  <si>
    <t>-2.2259149907482, -80.921130024467</t>
  </si>
  <si>
    <t>C.C. PASEO PORTOVIEJO MI CO</t>
  </si>
  <si>
    <t>-1.0611303680668, -80.465528737434</t>
  </si>
  <si>
    <t>OF. MARCELINO MARIDUEÑA PAP</t>
  </si>
  <si>
    <t>-2.2105501598945, -79.437369056319</t>
  </si>
  <si>
    <t>Coronel Marcelino Maridueña</t>
  </si>
  <si>
    <t>PRIMAX COLON</t>
  </si>
  <si>
    <t>-0.19645649880623, -78.499465020832</t>
  </si>
  <si>
    <t>C.C. EL RECREO OF.</t>
  </si>
  <si>
    <t>-0.25220533226148, -78.523039906746</t>
  </si>
  <si>
    <t>OF. BABAHOYO</t>
  </si>
  <si>
    <t>-1.8004036332543, -79.535966546678</t>
  </si>
  <si>
    <t>Babahoyo</t>
  </si>
  <si>
    <t>C.C. LA ROTONDA OF.</t>
  </si>
  <si>
    <t>-2.1391045728212, -79.908231034393</t>
  </si>
  <si>
    <t>PRIMAX KENNEDY NORTE</t>
  </si>
  <si>
    <t>-2.167722681587, -79.895933854002</t>
  </si>
  <si>
    <t>PRIMAX ATARAZANA</t>
  </si>
  <si>
    <t>-2.17146, -79.890154</t>
  </si>
  <si>
    <t>C.C. RIOCENTRO SUR HYPERMAR</t>
  </si>
  <si>
    <t>-2.241638, -79.894834</t>
  </si>
  <si>
    <t>PLAZA RODOLFO BAQUERIZO MOR</t>
  </si>
  <si>
    <t>-2.186303, -79.896037</t>
  </si>
  <si>
    <t>C.C.RIOCENTRO LOS CEIBOS PB</t>
  </si>
  <si>
    <t>PYCCA 123 ESCOBEDO</t>
  </si>
  <si>
    <t>-2.1849135625438, -79.881834699406</t>
  </si>
  <si>
    <t>HOSP. SOLCA P. MENENDEZ GIL</t>
  </si>
  <si>
    <t>-2.173939, -79.879981</t>
  </si>
  <si>
    <t>TIA SOLANDA</t>
  </si>
  <si>
    <t>-0.26793510547876, -78.538132240406</t>
  </si>
  <si>
    <t>C.C. MALL DEL SUR 1 OF.</t>
  </si>
  <si>
    <t>-2.229148, -79.898457</t>
  </si>
  <si>
    <t>HYPERMARKET NORTE GYE. OF.</t>
  </si>
  <si>
    <t>-2.1276126973558, -79.906743559525</t>
  </si>
  <si>
    <t>OF. LAS MONJAS</t>
  </si>
  <si>
    <t>-2.171101, -79.911039</t>
  </si>
  <si>
    <t>POSORJA FABRICA SALICA</t>
  </si>
  <si>
    <t>-2.6981972431688, -80.248583733184</t>
  </si>
  <si>
    <t>Posorja</t>
  </si>
  <si>
    <t>C.C. PASEO MILAGRO PATIO DE</t>
  </si>
  <si>
    <t>-2.1364964620815, -79.594431549598</t>
  </si>
  <si>
    <t>UNIV. SAN FRANCISCO DE QUIT</t>
  </si>
  <si>
    <t>-0.196763, -78.435913</t>
  </si>
  <si>
    <t>Cumbaya</t>
  </si>
  <si>
    <t>OF. EL CARMEN</t>
  </si>
  <si>
    <t>-0.27234110224082, -79.462855468174</t>
  </si>
  <si>
    <t>El Carmen</t>
  </si>
  <si>
    <t>HYPERMARKET VIA DAULE</t>
  </si>
  <si>
    <t>-2.1593596393913, -79.92793582209</t>
  </si>
  <si>
    <t>C.C. POLICENTRO 2 OF.</t>
  </si>
  <si>
    <t>ATARAZANA HOSP. R. GILBERT</t>
  </si>
  <si>
    <t>-2.1770491363457, -79.883544288361</t>
  </si>
  <si>
    <t>C.C. CALIFORNIA 2 OF.</t>
  </si>
  <si>
    <t>C.C. SAN MARINO 2 OF.</t>
  </si>
  <si>
    <t>TIA AV. OLMEDO</t>
  </si>
  <si>
    <t>-2.198379622975, -79.884574652712</t>
  </si>
  <si>
    <t>FARM. DROMAYOR</t>
  </si>
  <si>
    <t>-2.186439, -79.88382</t>
  </si>
  <si>
    <t>HYPERMARKET ALBAN BORJA</t>
  </si>
  <si>
    <t>-2.1707506252272, -79.916886046627</t>
  </si>
  <si>
    <t>PORTETE Y LA 17</t>
  </si>
  <si>
    <t>-2.2016875712695, -79.916651315123</t>
  </si>
  <si>
    <t>TIA SANTA ELENA</t>
  </si>
  <si>
    <t>-2.2264001623105, -80.858451644245</t>
  </si>
  <si>
    <t>FARM. PHARMACYS BATAN BAJO</t>
  </si>
  <si>
    <t>-0.18534561055841, -78.478990546681</t>
  </si>
  <si>
    <t>FARM. CRUZ AZUL MARTHA DE R</t>
  </si>
  <si>
    <t>-2.1450553375999, -79.922635587483</t>
  </si>
  <si>
    <t>ATM PASEO SHOPPING AMBATO</t>
  </si>
  <si>
    <t>-1.2639733631127, -78.64012797686</t>
  </si>
  <si>
    <t>C.C. MALL DEL SUR 2 OF.</t>
  </si>
  <si>
    <t>TIA ALBORADA</t>
  </si>
  <si>
    <t>-2.13962, -79.89843</t>
  </si>
  <si>
    <t>C.C. SAN LUIS OF.</t>
  </si>
  <si>
    <t>-0.30797568986608, -78.449547381615</t>
  </si>
  <si>
    <t>Sangolquí</t>
  </si>
  <si>
    <t>TIA MAPASINGUE</t>
  </si>
  <si>
    <t>-2.157744, -79.919684</t>
  </si>
  <si>
    <t>AEROPUERTO GYE. 2 OF.</t>
  </si>
  <si>
    <t>-2.1479507455355, -79.884499354492</t>
  </si>
  <si>
    <t>TIA LOS ESTEROS</t>
  </si>
  <si>
    <t>-2.2509105545268, -79.899715862022</t>
  </si>
  <si>
    <t>ACERO COMERCIAL QUITO</t>
  </si>
  <si>
    <t>-0.158622, -78.488167</t>
  </si>
  <si>
    <t>FARM. VICTORIA 29 Y ORIENTE</t>
  </si>
  <si>
    <t>-2.2111070203254, -79.930980380145</t>
  </si>
  <si>
    <t>HOTEL MONTAÑITA</t>
  </si>
  <si>
    <t>-1.8266960736485, -80.753190150188</t>
  </si>
  <si>
    <t>Montañita</t>
  </si>
  <si>
    <t>STA. CRUZ GALAPAGOS</t>
  </si>
  <si>
    <t>-0.74773832152368, -90.313735658583</t>
  </si>
  <si>
    <t>Puerto Ayora</t>
  </si>
  <si>
    <t>Galápagos</t>
  </si>
  <si>
    <t>OF. LA CONCORDIA</t>
  </si>
  <si>
    <t>0.0047511679635608, -79.397524259818</t>
  </si>
  <si>
    <t>San Isidro</t>
  </si>
  <si>
    <t>TIA PASCUALES</t>
  </si>
  <si>
    <t>-2.0684263198515, -79.933219747781</t>
  </si>
  <si>
    <t>GAS. PETROLEOS Y SERVICIOS</t>
  </si>
  <si>
    <t>-2.140413, -80.777271</t>
  </si>
  <si>
    <t>San Pablo</t>
  </si>
  <si>
    <t>NATURISSIMO</t>
  </si>
  <si>
    <t>-2.2052601382149, -80.95853400435</t>
  </si>
  <si>
    <t>Salinas</t>
  </si>
  <si>
    <t>SANGOLQUI 2</t>
  </si>
  <si>
    <t>-0.32772240690324, -78.450253377416</t>
  </si>
  <si>
    <t>OF. ALBORADA NORTE 1</t>
  </si>
  <si>
    <t>-2.1335977860225, -79.904058839287</t>
  </si>
  <si>
    <t>OF. ALBORADA NORTE 2</t>
  </si>
  <si>
    <t>OF. AZOGUES</t>
  </si>
  <si>
    <t>-2.7378502881398, -78.846438442577</t>
  </si>
  <si>
    <t>Azogues</t>
  </si>
  <si>
    <t>TIA LA FLORESTA</t>
  </si>
  <si>
    <t>-2.2512463482489, -79.884848395894</t>
  </si>
  <si>
    <t>TIA MERCADO CENTRAL</t>
  </si>
  <si>
    <t>-2.1950347616865, -79.887821864912</t>
  </si>
  <si>
    <t>TIA DURAN</t>
  </si>
  <si>
    <t>-2.1704007384558, -79.852365835039</t>
  </si>
  <si>
    <t>Durán</t>
  </si>
  <si>
    <t>HOSPITAL LUIS VERNAZA</t>
  </si>
  <si>
    <t>-2.1829241009892, -79.881410434532</t>
  </si>
  <si>
    <t>TERMINAL TERRESTRE OF. 2</t>
  </si>
  <si>
    <t>-2.1426674740639, -79.879234608459</t>
  </si>
  <si>
    <t>ATM PUERTO MARITIMO</t>
  </si>
  <si>
    <t>-2.2766347583468, -79.907462393849</t>
  </si>
  <si>
    <t>PRIMAX ENTRE RIOS</t>
  </si>
  <si>
    <t>-2.1435173279742, -79.864226203705</t>
  </si>
  <si>
    <t>LA LUZ QUITO</t>
  </si>
  <si>
    <t>-0.144391, -78.481918</t>
  </si>
  <si>
    <t>PRIMAX GARZOTA</t>
  </si>
  <si>
    <t>-2.1456054262986, -79.894860542328</t>
  </si>
  <si>
    <t>TERMINAL TERRESTRE OF.</t>
  </si>
  <si>
    <t>SHOPPING DURAN</t>
  </si>
  <si>
    <t>-2.177521326534, -79.825584041664</t>
  </si>
  <si>
    <t>FLORIDA NORTE</t>
  </si>
  <si>
    <t>-2.128815, -79.93605</t>
  </si>
  <si>
    <t>OF. MATRIZ ANEXO 3</t>
  </si>
  <si>
    <t>OF. MATRIZ ANEXO 4</t>
  </si>
  <si>
    <t>MAPASINGUE OESTE</t>
  </si>
  <si>
    <t>-2.157309, -79.930797</t>
  </si>
  <si>
    <t>TIA VERGELES</t>
  </si>
  <si>
    <t>-2.091918219583, -79.903310958893</t>
  </si>
  <si>
    <t>OF. CENTENARIO 2</t>
  </si>
  <si>
    <t>SAUCES VI</t>
  </si>
  <si>
    <t>-2.1259835368274, -79.897769377367</t>
  </si>
  <si>
    <t>AG. REMIGIO CRESPO TORAL</t>
  </si>
  <si>
    <t>-2.8979883430347, -79.018494097602</t>
  </si>
  <si>
    <t>GAS PETROCOMERCIAL SUR</t>
  </si>
  <si>
    <t>-2.2638741159323, -79.896355449995</t>
  </si>
  <si>
    <t>TIA CONOCOTO</t>
  </si>
  <si>
    <t>-0.29363, -78.478886</t>
  </si>
  <si>
    <t>Conocoto</t>
  </si>
  <si>
    <t>TIA FLOR DE BASTION</t>
  </si>
  <si>
    <t>-2.1046187259956, -79.954315185534</t>
  </si>
  <si>
    <t>GAS. HERMANO MIGUEL AV. 25</t>
  </si>
  <si>
    <t>-2.2509256027895, -79.89407117791</t>
  </si>
  <si>
    <t>AVICOLA FERNANDEZ , AV. ISI</t>
  </si>
  <si>
    <t>-2.1203334693724, -79.900600195107</t>
  </si>
  <si>
    <t>CENTRO PLAYAS</t>
  </si>
  <si>
    <t>-2.635617, -80.390509</t>
  </si>
  <si>
    <t>General Villamil Playas</t>
  </si>
  <si>
    <t>SUPERMERCADO EL RANCHO</t>
  </si>
  <si>
    <t>-2.195628, -79.89641</t>
  </si>
  <si>
    <t>TIA TOACAZO</t>
  </si>
  <si>
    <t>-0.261019, -78.545967</t>
  </si>
  <si>
    <t>HIPERMARKET AV. LAS AMERICA</t>
  </si>
  <si>
    <t>-2.181347, -79.891819</t>
  </si>
  <si>
    <t>CARNISARIATO DELCORRAL GOME</t>
  </si>
  <si>
    <t>-2.19427, -79.925333</t>
  </si>
  <si>
    <t>TIA PORTETE Y LA 38</t>
  </si>
  <si>
    <t>-2.197795, -79.933033</t>
  </si>
  <si>
    <t>PRIMAX, AV. JUAN TANCA MARE</t>
  </si>
  <si>
    <t>-2.1474749261809, -79.905767072422</t>
  </si>
  <si>
    <t>PLAZA LAGOS - MULTI</t>
  </si>
  <si>
    <t>-2.0990640514603, -79.875114552254</t>
  </si>
  <si>
    <t>PRIMAX CUMBAYA AV. INTEROCE</t>
  </si>
  <si>
    <t>-0.198046, -78.439151</t>
  </si>
  <si>
    <t>QUICENTRO SUR SHOPPING OF.</t>
  </si>
  <si>
    <t>-0.28519660716465, -78.543643270809</t>
  </si>
  <si>
    <t>PRIMAX, PORTETE, AV. JOSE R</t>
  </si>
  <si>
    <t>-2.1891895705623, -79.944021906746</t>
  </si>
  <si>
    <t>PRIMAX, AV. 25 DE JULIO Y 1</t>
  </si>
  <si>
    <t>-2.2604146309986, -79.896301030306</t>
  </si>
  <si>
    <t>ADUANAS - AEROPUERTO OF.</t>
  </si>
  <si>
    <t>-2.15271811535, -79.885611603149</t>
  </si>
  <si>
    <t>PRIMAX AMBATO, LOS SAUCES,</t>
  </si>
  <si>
    <t>-1.2567470211308, -78.641881817843</t>
  </si>
  <si>
    <t>TIA ESMERALDAS, AV. JAIME H</t>
  </si>
  <si>
    <t>0.9325269542761, -79.672041012951</t>
  </si>
  <si>
    <t>Esmeraldas</t>
  </si>
  <si>
    <t>C.C. PLAZA NOVA KM. 2.5 VIA</t>
  </si>
  <si>
    <t>-2.1297677392416, -79.864119169312</t>
  </si>
  <si>
    <t>MERCADO ARTESANAL, CALLE RE</t>
  </si>
  <si>
    <t>-0.206939, -78.495166</t>
  </si>
  <si>
    <t>C.C. PASEO SHOPPING QUEVEDO</t>
  </si>
  <si>
    <t>-0.999635, -79.467502</t>
  </si>
  <si>
    <t>OF. SAI BABA DURAN KM 4.5 V</t>
  </si>
  <si>
    <t>-2.1927731140308, -79.823755483467</t>
  </si>
  <si>
    <t>CONTECOM AV. DE LA MARINA,</t>
  </si>
  <si>
    <t>-2.2794737942448, -79.906965462122</t>
  </si>
  <si>
    <t>PRIMAX J.T.M AV. DEL SANTU</t>
  </si>
  <si>
    <t>-2.140356, -79.925519</t>
  </si>
  <si>
    <t>MANTA FLAVIO REYES Y CALLE</t>
  </si>
  <si>
    <t>-0.94494581786925, -80.73290525893</t>
  </si>
  <si>
    <t>TIA MUCHO LOTE AV. ISIDRO A</t>
  </si>
  <si>
    <t>-2.0847648662886, -79.920308066305</t>
  </si>
  <si>
    <t>OF. SAMBORONDON 1</t>
  </si>
  <si>
    <t>-2.1133265276055675, -79.87081606931311</t>
  </si>
  <si>
    <t>SAMBORONDON 2 PULL</t>
  </si>
  <si>
    <t>PROMARISCO</t>
  </si>
  <si>
    <t>-2.2130281686453, -79.826093445214</t>
  </si>
  <si>
    <t>PRIMAX RUBBEN</t>
  </si>
  <si>
    <t>-0.15907670257508, -78.48330337896</t>
  </si>
  <si>
    <t>CC MALL DEL SOL</t>
  </si>
  <si>
    <t>-2.155271363251, -79.890638596926</t>
  </si>
  <si>
    <t>HYPERMARKET LOS VERGELES</t>
  </si>
  <si>
    <t>-2.0928561683107, -79.911859219574</t>
  </si>
  <si>
    <t>PRIMAX PUERTO AZUL</t>
  </si>
  <si>
    <t>-2.183994, -79.97691</t>
  </si>
  <si>
    <t>PLAZA COLONIA</t>
  </si>
  <si>
    <t>-2.183777, -79.98394</t>
  </si>
  <si>
    <t>PLAZA PYCCA</t>
  </si>
  <si>
    <t>-2.1194514112252, -79.932722559525</t>
  </si>
  <si>
    <t>CC MALL DEL SOL 1 OF</t>
  </si>
  <si>
    <t>-2.1554236042519, -79.893033267529</t>
  </si>
  <si>
    <t>CC MALL DEL SOL 2 OF</t>
  </si>
  <si>
    <t>TIA DURAN III</t>
  </si>
  <si>
    <t>-2.1649928954332, -79.844669602516</t>
  </si>
  <si>
    <t>C.C. SAN EDUARDO SHOPPING</t>
  </si>
  <si>
    <t>-2.19020536674, -79.94269474107</t>
  </si>
  <si>
    <t>FAR. CRUZ AZUL SAUCES 9</t>
  </si>
  <si>
    <t>-2.128026, -79.892673</t>
  </si>
  <si>
    <t>TER. TERREST. PORTOVIEJO</t>
  </si>
  <si>
    <t>-1.061762367033, -80.458987089008</t>
  </si>
  <si>
    <t>CC SAN FRANCISCO II</t>
  </si>
  <si>
    <t>-0.198908, -78.436092</t>
  </si>
  <si>
    <t>PLAZA TIA BASTION POPULAR</t>
  </si>
  <si>
    <t>-2.098861, -79.935445</t>
  </si>
  <si>
    <t>TIA ALAMOS</t>
  </si>
  <si>
    <t>-2.132188, -79.908046</t>
  </si>
  <si>
    <t>HIPERMARKET VIA DAULE 12.5</t>
  </si>
  <si>
    <t>-2.093657, -79.937042</t>
  </si>
  <si>
    <t>SHOPPING PLAYAS</t>
  </si>
  <si>
    <t>-2.6429693045424, -80.385091008598</t>
  </si>
  <si>
    <t>HIPERMARKET LA AURORA</t>
  </si>
  <si>
    <t>-2.0541479735325, -79.873834894281</t>
  </si>
  <si>
    <t>La Aurora</t>
  </si>
  <si>
    <t>ATM CENTRO EMPRESARIAL COLON</t>
  </si>
  <si>
    <t>-2.1502941296651, -79.906397733186</t>
  </si>
  <si>
    <t>GAS. TERPEL GUAYACANES</t>
  </si>
  <si>
    <t>-2.1212738859357, -79.899860419643</t>
  </si>
  <si>
    <t>OF. 12 OCTUBRE</t>
  </si>
  <si>
    <t>-0.206033, -78.487366</t>
  </si>
  <si>
    <t>HIPER VIA A LA COSTA</t>
  </si>
  <si>
    <t>-2.181969, -79.995842</t>
  </si>
  <si>
    <t>OF EL EMPALME 2</t>
  </si>
  <si>
    <t>OF. MILAGRO 2</t>
  </si>
  <si>
    <t>PRIMAX VISION 2000</t>
  </si>
  <si>
    <t>-0.275437, -78.512265</t>
  </si>
  <si>
    <t>TERMINAL TERRESTRE OF. 3</t>
  </si>
  <si>
    <t>GRUPASA</t>
  </si>
  <si>
    <t>-2.10128425712574, -79.9365974717109</t>
  </si>
  <si>
    <t>PAPELESA</t>
  </si>
  <si>
    <t>-2.10706878707602, -79.9408243128599</t>
  </si>
  <si>
    <t>OF. LIBERTAD 2</t>
  </si>
  <si>
    <t>TIA LA AURORA</t>
  </si>
  <si>
    <t>-2.0525768048808, -79.880695271164</t>
  </si>
  <si>
    <t>SALAS DE VELACION</t>
  </si>
  <si>
    <t>-2.1822450451899, -79.88976236017</t>
  </si>
  <si>
    <t>HOSP. NIÑO GOMEZ RENDON</t>
  </si>
  <si>
    <t>-2.202532, -79.892351</t>
  </si>
  <si>
    <t>OF. QUEVEDO 2</t>
  </si>
  <si>
    <t>CC MALL DEL SUR 3</t>
  </si>
  <si>
    <t>OF SANTO DOMINGO 2</t>
  </si>
  <si>
    <t>PLAZA TIA LA JOYA (REINSTALADO)</t>
  </si>
  <si>
    <t>-2.0280668336534, -79.912529347221</t>
  </si>
  <si>
    <t>ATM QUITO TENIS</t>
  </si>
  <si>
    <t>-0.16759569524283, -78.489494004353</t>
  </si>
  <si>
    <t>MALL EL FORTIN 1</t>
  </si>
  <si>
    <t>-2.1093123468678, -79.948822486491</t>
  </si>
  <si>
    <t>OF. EL CARMEN 2</t>
  </si>
  <si>
    <t>TERMINAL TERRESTRE OF. 4</t>
  </si>
  <si>
    <t>OF. LA TRONCAL 2</t>
  </si>
  <si>
    <t>HYPERMARKET BALLENITA</t>
  </si>
  <si>
    <t>-2.2113564751355, -80.868662071398</t>
  </si>
  <si>
    <t>Ballenita</t>
  </si>
  <si>
    <t>TIA ESCLUSAS</t>
  </si>
  <si>
    <t>-2.261008, -79.878241</t>
  </si>
  <si>
    <t>PASEO SHOPPING STO. DOMINGO</t>
  </si>
  <si>
    <t>-0.24890120654703, -79.162049904249</t>
  </si>
  <si>
    <t>PASEO SHOPPING BABAHOYO</t>
  </si>
  <si>
    <t>-1.8131077554945, -79.545317172494</t>
  </si>
  <si>
    <t>TIA POSORJA</t>
  </si>
  <si>
    <t>-2.7103348371123, -80.245090980966</t>
  </si>
  <si>
    <t>FLORIDA NORTE 2</t>
  </si>
  <si>
    <t>ATM ARCA VIA A DAULE</t>
  </si>
  <si>
    <t>-2.110533, -79.937646</t>
  </si>
  <si>
    <t>ARCA QUITO CALDERON</t>
  </si>
  <si>
    <t>-0.108239, -78.446055</t>
  </si>
  <si>
    <t>Carapungo</t>
  </si>
  <si>
    <t>ATM ARCA SANTO DOMINGO</t>
  </si>
  <si>
    <t>-0.2571447525549416, -79.20396733594352</t>
  </si>
  <si>
    <t>ATM ARCA JUAN TANCA MARENGO</t>
  </si>
  <si>
    <t>-2.142993, -79.916595</t>
  </si>
  <si>
    <t>ARCA EL INCA</t>
  </si>
  <si>
    <t>-0.15343833908749, -78.478335089008</t>
  </si>
  <si>
    <t>TIA MONTECRISTI</t>
  </si>
  <si>
    <t>-1.04570480809368, -80.6584036744766</t>
  </si>
  <si>
    <t>Montecristi</t>
  </si>
  <si>
    <t>ATM ARCA PORTOVIEJO</t>
  </si>
  <si>
    <t>-1.073357, -80.444453</t>
  </si>
  <si>
    <t>PRIMAX DURÁN</t>
  </si>
  <si>
    <t>-2.1687090961262, -79.839177669975</t>
  </si>
  <si>
    <t>TERMINAL SATELITE PASCUALES</t>
  </si>
  <si>
    <t>-2.0737460686847, -79.94009852982</t>
  </si>
  <si>
    <t>QUITO CALDERON</t>
  </si>
  <si>
    <t>-0.1031771523456, -78.424161818133</t>
  </si>
  <si>
    <t>Calderón</t>
  </si>
  <si>
    <t>INDUAUTO</t>
  </si>
  <si>
    <t>-2.165391, -79.923584</t>
  </si>
  <si>
    <t>LOTERIA NACIONAL 9 DE OCTUB</t>
  </si>
  <si>
    <t>-2.190161, -79.886549</t>
  </si>
  <si>
    <t>MUCHO LOTE ETAPA 7</t>
  </si>
  <si>
    <t>-2.0911584740818, -79.922668953373</t>
  </si>
  <si>
    <t>TIA LA MANA</t>
  </si>
  <si>
    <t>-0.941448, -79.227945</t>
  </si>
  <si>
    <t>La Maná</t>
  </si>
  <si>
    <t>Cotopaxi</t>
  </si>
  <si>
    <t>MATERNIDAD A. PAULSON</t>
  </si>
  <si>
    <t>-2.178273190523, -79.884292520168</t>
  </si>
  <si>
    <t>LOS CEIBOS OF.</t>
  </si>
  <si>
    <t>-2.1800670462068, -79.944811350052</t>
  </si>
  <si>
    <t>LOS CEIBOS FF AUTOCAJERO</t>
  </si>
  <si>
    <t>MULT AUTOB ENTRERIOS</t>
  </si>
  <si>
    <t>KFC EXPRESS LAS ESCLUSAS</t>
  </si>
  <si>
    <t>-2.261132, -79.878463</t>
  </si>
  <si>
    <t>PORTON 9 DE OCTUBRE MALECON</t>
  </si>
  <si>
    <t>-2.192464, -79.879536</t>
  </si>
  <si>
    <t>PRIMAX AMERICANA</t>
  </si>
  <si>
    <t>-2.1430297046844, -79.884464623348</t>
  </si>
  <si>
    <t>ATM ARCA QUEVEDO</t>
  </si>
  <si>
    <t>-0.97913, -79.440004</t>
  </si>
  <si>
    <t>QUITO PORTUGAL OF.</t>
  </si>
  <si>
    <t>-0.18241667800904, -78.478438327572</t>
  </si>
  <si>
    <t>PRIMAX EL CONDADO</t>
  </si>
  <si>
    <t>-0.105223, -78.500345</t>
  </si>
  <si>
    <t>El Condado</t>
  </si>
  <si>
    <t>C.C. EL DORADO OF.</t>
  </si>
  <si>
    <t>-2.0552497307291, -79.875205655434</t>
  </si>
  <si>
    <t>ATM TONI PASCUALES</t>
  </si>
  <si>
    <t>-2.0652925839496, -79.924221892204</t>
  </si>
  <si>
    <t>GAS. PDV TERMINAL PASCUALES</t>
  </si>
  <si>
    <t>-2.0787363639702, -79.896649847885</t>
  </si>
  <si>
    <t>DEL PORTAL VILLA CLUB</t>
  </si>
  <si>
    <t>-2.0491, -79.889421</t>
  </si>
  <si>
    <t>MALL EL FORTIN 3 FF</t>
  </si>
  <si>
    <t>QUICENTRO SUR 2 SHOPPING</t>
  </si>
  <si>
    <t>CENTRO PORTOVIEJO</t>
  </si>
  <si>
    <t>-1.051107, -80.453972</t>
  </si>
  <si>
    <t>MULTIPLAZA AIRES DEL BATAN</t>
  </si>
  <si>
    <t>-2.0724623661049, -79.872272470621</t>
  </si>
  <si>
    <t>AV. LA ECUATORIANA</t>
  </si>
  <si>
    <t>-0.31099358609434, -78.56456796898</t>
  </si>
  <si>
    <t>UNV. CATOLICA DE CUENCA</t>
  </si>
  <si>
    <t>-2.8847833115177, -79.005802007271</t>
  </si>
  <si>
    <t>ALHAMBRA SHOPPING</t>
  </si>
  <si>
    <t>-2.1321674386286, -79.863631417214</t>
  </si>
  <si>
    <t>DIPOR VIA A DAULE</t>
  </si>
  <si>
    <t>-2.1069115318805385, -79.93182388127495</t>
  </si>
  <si>
    <t>ATM UEES</t>
  </si>
  <si>
    <t>-2.1331494933718, -79.865817704824</t>
  </si>
  <si>
    <t>PASEO SHOPPING DAULE</t>
  </si>
  <si>
    <t>-1.854623614441, -79.975836109332</t>
  </si>
  <si>
    <t>Daule</t>
  </si>
  <si>
    <t>AG. MACHALA</t>
  </si>
  <si>
    <t>-3.2791119581546, -79.933491846033</t>
  </si>
  <si>
    <t>COMISARIATO LA FLORIDA</t>
  </si>
  <si>
    <t>-2.130234, -79.932355</t>
  </si>
  <si>
    <t>PUNTO DE LA SUERTE 9 DE OCT</t>
  </si>
  <si>
    <t>-2.191494, -79.882836</t>
  </si>
  <si>
    <t>PHARMACY'S CLINICA KENNEDY</t>
  </si>
  <si>
    <t>-2.17319, -79.89861</t>
  </si>
  <si>
    <t>FARM. CRUZ AZUL POMASQUI</t>
  </si>
  <si>
    <t>-0.054045, -78.455478</t>
  </si>
  <si>
    <t>Distrito Metropolitano de Quito</t>
  </si>
  <si>
    <t>C.CONVENCION LISTO</t>
  </si>
  <si>
    <t>-2.1595117314442, -79.888602073</t>
  </si>
  <si>
    <t>HIPERMARKET MONTECRISTI</t>
  </si>
  <si>
    <t>-1.006304, -80.685982</t>
  </si>
  <si>
    <t>HIPER DE MUCHO LOTE 2</t>
  </si>
  <si>
    <t>-2.0693902345394, -79.898141321426</t>
  </si>
  <si>
    <t>CD EL ROSADO</t>
  </si>
  <si>
    <t>-2.0380955047026, -79.945506099198</t>
  </si>
  <si>
    <t>PRIMAX LA AURORA</t>
  </si>
  <si>
    <t>-2.0513138633366, -79.901644373016</t>
  </si>
  <si>
    <t>GARZOCENTRO SHOPPING CENTER</t>
  </si>
  <si>
    <t>-2.144117, -79.89329</t>
  </si>
  <si>
    <t>TIA COTOCOLLAO</t>
  </si>
  <si>
    <t>-0.11434223715214, -78.495563631336</t>
  </si>
  <si>
    <t>VILLAGE PLAZA</t>
  </si>
  <si>
    <t>-2.140432, -79.864389</t>
  </si>
  <si>
    <t>C.C PORTAL SHOPPING CARAPUNGO</t>
  </si>
  <si>
    <t>-0.10817009322543, -78.458035635582</t>
  </si>
  <si>
    <t>GISIS</t>
  </si>
  <si>
    <t>-2.2138081853517, -79.824929546887</t>
  </si>
  <si>
    <t>LA CUADRA</t>
  </si>
  <si>
    <t>-2.0535766783513, -79.916158661377</t>
  </si>
  <si>
    <t>PRIMAX GUAJALO</t>
  </si>
  <si>
    <t>-0.28617413958005, -78.537414868717</t>
  </si>
  <si>
    <t>OF. ALBORADA RECICLADOR</t>
  </si>
  <si>
    <t>HYPER PEDRO MENENDEZ</t>
  </si>
  <si>
    <t>-2.1685807956796, -79.879049642853</t>
  </si>
  <si>
    <t>MI COMISARIATO J.T.M.</t>
  </si>
  <si>
    <t>-2.145086745704, -79.912649527439</t>
  </si>
  <si>
    <t>GAS. PETROMAR</t>
  </si>
  <si>
    <t>-2.2030739730031, -79.915665377806</t>
  </si>
  <si>
    <t>OF. MACHALA 2</t>
  </si>
  <si>
    <t>LISTO 9 DE OCTUBRE</t>
  </si>
  <si>
    <t>-2.1891975473343, -79.889251477088</t>
  </si>
  <si>
    <t>HIPERMARKET PORTOVIEJO</t>
  </si>
  <si>
    <t>-1.070723, -80.448011</t>
  </si>
  <si>
    <t>MALECON DE SALINAS</t>
  </si>
  <si>
    <t>-2.2049575175464, -80.973525440475</t>
  </si>
  <si>
    <t>PLAZA TOLEDO</t>
  </si>
  <si>
    <t>-2.914926557806, -79.02276446202</t>
  </si>
  <si>
    <t>DEL PORTAL LA JOYA</t>
  </si>
  <si>
    <t>-2.0406102042185, -79.91401820734</t>
  </si>
  <si>
    <t>C.C. OASIS</t>
  </si>
  <si>
    <t>-2.0639911781489, -79.908123080673</t>
  </si>
  <si>
    <t>PRIMAX FERRARI</t>
  </si>
  <si>
    <t>-0.095497525231368, -78.488602004353</t>
  </si>
  <si>
    <t>CD DIFARE</t>
  </si>
  <si>
    <t>-2.0274252137779, -79.950484750383</t>
  </si>
  <si>
    <t>PRIMAX MONTESERRIN</t>
  </si>
  <si>
    <t>-0.159998, -78.466534</t>
  </si>
  <si>
    <t>Comuna Miraflores</t>
  </si>
  <si>
    <t>SUPERMAXI VIA A LA COSTA</t>
  </si>
  <si>
    <t>-2.1821769815315, -79.985473965607</t>
  </si>
  <si>
    <t>AVÍCOLA FERNANDEZ BABAHOYO</t>
  </si>
  <si>
    <t>-1.799965, -79.531699</t>
  </si>
  <si>
    <t>DURAN BUSINESS CENTER</t>
  </si>
  <si>
    <t>-2.188029909433, -79.827955918632</t>
  </si>
  <si>
    <t>PETROLEOS Y SERVICIOS</t>
  </si>
  <si>
    <t>-1.2716069272376, -78.61188654668</t>
  </si>
  <si>
    <t>MUCHO LOTE 2</t>
  </si>
  <si>
    <t>-2.06849, -79.895125</t>
  </si>
  <si>
    <t>RIOCENTRO 6 DE DICIEMBRE RECICLADOR</t>
  </si>
  <si>
    <t>-0.16603923764519, -78.476094563879</t>
  </si>
  <si>
    <t>OF. MATRIZ ANEXO 5</t>
  </si>
  <si>
    <t>OF. MATRIZ ANEXO 6</t>
  </si>
  <si>
    <t>PLASTICOS ECUATORIANOS SA</t>
  </si>
  <si>
    <t>-2.1258792326852, -79.933447138901</t>
  </si>
  <si>
    <t>OF. MATRIZ LOBBY 2</t>
  </si>
  <si>
    <t>-2.1899148432515, -79.879941750822</t>
  </si>
  <si>
    <t>TIA LLANO GRANDE</t>
  </si>
  <si>
    <t>-0.10931871172645, -78.445085546681</t>
  </si>
  <si>
    <t>CC MONAY SHOPPING</t>
  </si>
  <si>
    <t>-2.8971729126886, -78.976930190856</t>
  </si>
  <si>
    <t>ECOTEC</t>
  </si>
  <si>
    <t>-2.0383602154564, -79.857352980223</t>
  </si>
  <si>
    <t>RIOCENTRO CEIBOS MUL</t>
  </si>
  <si>
    <t>CD TUTI VIA DAULE</t>
  </si>
  <si>
    <t>-1.998157497178, -79.968113919695</t>
  </si>
  <si>
    <t>PRIMAX LA BOTELLA PLAYAS</t>
  </si>
  <si>
    <t>-2.5918387009263, -80.397510204492</t>
  </si>
  <si>
    <t>Playas</t>
  </si>
  <si>
    <t>SUPERCINES FCO DE ORELLANA</t>
  </si>
  <si>
    <t>-2.1690429640077, -79.896997210409</t>
  </si>
  <si>
    <t>SAUCES 2</t>
  </si>
  <si>
    <t>-2.1382411328962, -79.891425520883</t>
  </si>
  <si>
    <t>PLAZA CASA LAGUNA</t>
  </si>
  <si>
    <t>-2.0339784447375, -79.887350462023</t>
  </si>
  <si>
    <t>OF. MATRIZ LOBBY RE</t>
  </si>
  <si>
    <t>CONDADO SHOPPING REC</t>
  </si>
  <si>
    <t>-0.10385863876508, -78.490326716394</t>
  </si>
  <si>
    <t>MODERNA PLAZA</t>
  </si>
  <si>
    <t>-2.1288782156838, -79.863641467832</t>
  </si>
  <si>
    <t>PRIMAX BATAN</t>
  </si>
  <si>
    <t>-2.0748000814385, -79.873377209486</t>
  </si>
  <si>
    <t>TUTI PRIMERO DE MAYO</t>
  </si>
  <si>
    <t>-1.0422553136955, -80.468918452919</t>
  </si>
  <si>
    <t>TIA SANGOLQUI</t>
  </si>
  <si>
    <t>-0.34606900953299474, -78.43734983884927</t>
  </si>
  <si>
    <t>SHOPPING DURAN RE</t>
  </si>
  <si>
    <t>TUTI MITAD DEL MUND</t>
  </si>
  <si>
    <t>-0.008035317179819814, -78.44762497884675</t>
  </si>
  <si>
    <t>San Antonio</t>
  </si>
  <si>
    <t>TUTI FICOA</t>
  </si>
  <si>
    <t>-1.2372873000002194, -78.63297151534546</t>
  </si>
  <si>
    <t>PRIMAX MAGNA</t>
  </si>
  <si>
    <t>-2.0311202736593, -79.90213234435</t>
  </si>
  <si>
    <t>TERPEL DURAN</t>
  </si>
  <si>
    <t>-2.175519996708783, -79.83084726112874</t>
  </si>
  <si>
    <t>TUTI BAÑOS</t>
  </si>
  <si>
    <t>-1.3954293085607, -78.423825275802</t>
  </si>
  <si>
    <t>Baños de Agua Santa</t>
  </si>
  <si>
    <t>HOSP. UNIVERSITARIO</t>
  </si>
  <si>
    <t>-2.7508620147350187, -78.84869086136035</t>
  </si>
  <si>
    <t>HYPER VIA A LA COSTA 2</t>
  </si>
  <si>
    <t>-2.1975406675718, -80.059598953968</t>
  </si>
  <si>
    <t>MERCADO ARTESANAL 2</t>
  </si>
  <si>
    <t>-0.207321, -78.49514</t>
  </si>
  <si>
    <t>DOS CHORRERAS</t>
  </si>
  <si>
    <t>-2.786915, -79.16598</t>
  </si>
  <si>
    <t>TUTI CHONGON</t>
  </si>
  <si>
    <t>-2.234701, -80.079534</t>
  </si>
  <si>
    <t>MI COMISARIATO LA JOYA</t>
  </si>
  <si>
    <t>-2.03485258523185, -79.9155356344261</t>
  </si>
  <si>
    <t>MINI PLUS GOMEZ RENDON</t>
  </si>
  <si>
    <t>-2.19992703521746, -79.9026085148514</t>
  </si>
  <si>
    <t>TUTI COLON Y LORENZO DE GARAICOA</t>
  </si>
  <si>
    <t>-2.195605, -79.887726</t>
  </si>
  <si>
    <t>TIA MONTAÑITA</t>
  </si>
  <si>
    <t>-1.82300117471576, -80.7533523213827</t>
  </si>
  <si>
    <t>TUTI DURANEL RECREO 1° ETAPA</t>
  </si>
  <si>
    <t>-2.180908, -79.814326</t>
  </si>
  <si>
    <t>TERMINAL TERRESTRE MUNICIPAL COSTA</t>
  </si>
  <si>
    <t>-2.18238975072341, -79.9489053000797</t>
  </si>
  <si>
    <t>HIPER EL BUIJO</t>
  </si>
  <si>
    <t>-2.076268, -79.857469</t>
  </si>
  <si>
    <t>DURAN EL RECREO 3 ETAPA</t>
  </si>
  <si>
    <t>-2.17431566775777, -79.8037642790764</t>
  </si>
  <si>
    <t>PLAZA OLÓN</t>
  </si>
  <si>
    <t>-1.79769336150926, -80.7565370348239</t>
  </si>
  <si>
    <t>Olón</t>
  </si>
  <si>
    <t>ALMAX CENTER</t>
  </si>
  <si>
    <t>-2.03712726187108, -79.8490244949786</t>
  </si>
  <si>
    <t>PLANTA PICA</t>
  </si>
  <si>
    <t>-2.12027909370317, -79.9335863470148</t>
  </si>
  <si>
    <t>DEL PORTAL CIUDAD CELESTE</t>
  </si>
  <si>
    <t>-2.07606794265836, -79.8531456622234</t>
  </si>
  <si>
    <t>UNICENTRO SHOPPING</t>
  </si>
  <si>
    <t>-2.193576260329084, -79.88287342393875</t>
  </si>
  <si>
    <t>MALL DEL ALTO</t>
  </si>
  <si>
    <t>-2.921271543467622, -79.01501242289524</t>
  </si>
  <si>
    <t>TUTI VINCES</t>
  </si>
  <si>
    <t>-1.555794400436302, -79.75308492851916</t>
  </si>
  <si>
    <t>Vinces</t>
  </si>
  <si>
    <t>TUTI VENTANAS</t>
  </si>
  <si>
    <t>-1.4443708373525077, -79.46363630270245</t>
  </si>
  <si>
    <t>Ventanas</t>
  </si>
  <si>
    <t>TUTI QUITUMBE</t>
  </si>
  <si>
    <t>-0.29636019146092185, -78.54633408816032</t>
  </si>
  <si>
    <t>AMBATO - SIB</t>
  </si>
  <si>
    <t>BABAHOYO-MB SIB</t>
  </si>
  <si>
    <t>BOVEDA SIB PROVICA</t>
  </si>
  <si>
    <t>CUENCA - SIB</t>
  </si>
  <si>
    <t>DIPOR VIA DAULE</t>
  </si>
  <si>
    <t>LA LIBERTAD - SIB</t>
  </si>
  <si>
    <t>LOJA-MB SIB</t>
  </si>
  <si>
    <t>MACHALA - BOVEDA SIB</t>
  </si>
  <si>
    <t>MATRIZ - BOV. TESORERIA</t>
  </si>
  <si>
    <t>MATRIZ MB SIB</t>
  </si>
  <si>
    <t>PORTOVIEJO - MB SIB</t>
  </si>
  <si>
    <t>QUEVEDO MB SIB</t>
  </si>
  <si>
    <t>QUITO MB SIB</t>
  </si>
  <si>
    <t>SANTO DOMINGO - SIB</t>
  </si>
  <si>
    <t>SIB IBARRA</t>
  </si>
  <si>
    <t>9 DE OCTUBRE</t>
  </si>
  <si>
    <t>A0001</t>
  </si>
  <si>
    <t>OF-86</t>
  </si>
  <si>
    <t>ALBORADA</t>
  </si>
  <si>
    <t>A0002</t>
  </si>
  <si>
    <t>OF-2</t>
  </si>
  <si>
    <t>ALBORADA NORTE</t>
  </si>
  <si>
    <t>A0003</t>
  </si>
  <si>
    <t>OF-95</t>
  </si>
  <si>
    <t>BABAHOYO</t>
  </si>
  <si>
    <t>A0004</t>
  </si>
  <si>
    <t>OF-25</t>
  </si>
  <si>
    <t>BUENA FE</t>
  </si>
  <si>
    <t>A0005</t>
  </si>
  <si>
    <t>OF-23</t>
  </si>
  <si>
    <t>CENTENARIO</t>
  </si>
  <si>
    <t>A0006</t>
  </si>
  <si>
    <t>OF-4</t>
  </si>
  <si>
    <t>EL CARMEN</t>
  </si>
  <si>
    <t>A0007</t>
  </si>
  <si>
    <t>OF-11</t>
  </si>
  <si>
    <t>EL DORADO</t>
  </si>
  <si>
    <t>A0008</t>
  </si>
  <si>
    <t>OF-182</t>
  </si>
  <si>
    <t>EL EMPALME</t>
  </si>
  <si>
    <t>A0009</t>
  </si>
  <si>
    <t>OF-22</t>
  </si>
  <si>
    <t>LA CONCORDIA</t>
  </si>
  <si>
    <t>A0010</t>
  </si>
  <si>
    <t>OF-12</t>
  </si>
  <si>
    <t>LA LIBERTAD</t>
  </si>
  <si>
    <t>A0011</t>
  </si>
  <si>
    <t>OF-70</t>
  </si>
  <si>
    <t>LA TRONCAL</t>
  </si>
  <si>
    <t>A0012</t>
  </si>
  <si>
    <t>OF-60</t>
  </si>
  <si>
    <t>LAS MONJAS</t>
  </si>
  <si>
    <t>A0013</t>
  </si>
  <si>
    <t>OF-84</t>
  </si>
  <si>
    <t>LOS CEIBOS</t>
  </si>
  <si>
    <t>A0014</t>
  </si>
  <si>
    <t>OF-93</t>
  </si>
  <si>
    <t>MACHALA CENTRO</t>
  </si>
  <si>
    <t>A0015</t>
  </si>
  <si>
    <t>OF-31</t>
  </si>
  <si>
    <t>MACHALA</t>
  </si>
  <si>
    <t>A0016</t>
  </si>
  <si>
    <t>OF-30</t>
  </si>
  <si>
    <t>MALL DEL SOL</t>
  </si>
  <si>
    <t>A0017</t>
  </si>
  <si>
    <t>OF-174</t>
  </si>
  <si>
    <t>MALL DEL SUR</t>
  </si>
  <si>
    <t>A0018</t>
  </si>
  <si>
    <t>OF-94</t>
  </si>
  <si>
    <t>MANTA</t>
  </si>
  <si>
    <t>A0019</t>
  </si>
  <si>
    <t>OF-110</t>
  </si>
  <si>
    <t>-0.94425921393838, -80.723623947716</t>
  </si>
  <si>
    <t>MATRIZ</t>
  </si>
  <si>
    <t>A0020</t>
  </si>
  <si>
    <t>OF-0</t>
  </si>
  <si>
    <t>MERCADO CENTRAL</t>
  </si>
  <si>
    <t>A0021</t>
  </si>
  <si>
    <t>OF-5</t>
  </si>
  <si>
    <t>MILAGRO</t>
  </si>
  <si>
    <t>A0022</t>
  </si>
  <si>
    <t>OF-88</t>
  </si>
  <si>
    <t>PARQUE INDUSTRIAL CALIFORNIA</t>
  </si>
  <si>
    <t>A0024</t>
  </si>
  <si>
    <t>OF-91</t>
  </si>
  <si>
    <t>PASEO SHOPPING DURAN</t>
  </si>
  <si>
    <t>A0025</t>
  </si>
  <si>
    <t>OF-98</t>
  </si>
  <si>
    <t>POLICENTRO</t>
  </si>
  <si>
    <t>A0026</t>
  </si>
  <si>
    <t>OF-85</t>
  </si>
  <si>
    <t>PORTOVIEJO</t>
  </si>
  <si>
    <t>A0027</t>
  </si>
  <si>
    <t>OF-112</t>
  </si>
  <si>
    <t>QUEVEDO</t>
  </si>
  <si>
    <t>A0028</t>
  </si>
  <si>
    <t>OF-20</t>
  </si>
  <si>
    <t>SAMBORONDON</t>
  </si>
  <si>
    <t>A0029</t>
  </si>
  <si>
    <t>OF-183</t>
  </si>
  <si>
    <t>CC SAN EDUARDO SHOPPING</t>
  </si>
  <si>
    <t>A0030</t>
  </si>
  <si>
    <t>OF-175</t>
  </si>
  <si>
    <t>SAN MARINO</t>
  </si>
  <si>
    <t>A0031</t>
  </si>
  <si>
    <t>OF-92</t>
  </si>
  <si>
    <t>SANTO DOMINGO</t>
  </si>
  <si>
    <t>A0032</t>
  </si>
  <si>
    <t>OF-10</t>
  </si>
  <si>
    <t>URDESA</t>
  </si>
  <si>
    <t>A0033</t>
  </si>
  <si>
    <t>OF-3</t>
  </si>
  <si>
    <t>MATRIZ - CENTRO DE ACOPIO</t>
  </si>
  <si>
    <t>ARCA JUAN TANCA MARENGO</t>
  </si>
  <si>
    <t>A0035</t>
  </si>
  <si>
    <t>VENT-2</t>
  </si>
  <si>
    <t>-2.1436198698285, -79.914839904091</t>
  </si>
  <si>
    <t>ARCA VIA PASAJE MACHALA</t>
  </si>
  <si>
    <t>A0036</t>
  </si>
  <si>
    <t>VENT-44</t>
  </si>
  <si>
    <t>-3.274044, -79.935957</t>
  </si>
  <si>
    <t>ARCA PORTOVIEJO</t>
  </si>
  <si>
    <t>A0037</t>
  </si>
  <si>
    <t>VENT-3</t>
  </si>
  <si>
    <t>ARCA QUEVEDO</t>
  </si>
  <si>
    <t>A0038</t>
  </si>
  <si>
    <t>VENT-4</t>
  </si>
  <si>
    <t>ARCA SANTO DOMINGO</t>
  </si>
  <si>
    <t>A0039</t>
  </si>
  <si>
    <t>VENT-17</t>
  </si>
  <si>
    <t>-0.25710976049203, -79.204541208058</t>
  </si>
  <si>
    <t>ARCA VIA A DAULE</t>
  </si>
  <si>
    <t>A0040</t>
  </si>
  <si>
    <t>VENT-41</t>
  </si>
  <si>
    <t>LOTERIA NACIONAL MATRIZ</t>
  </si>
  <si>
    <t>A0041</t>
  </si>
  <si>
    <t>VENT-39</t>
  </si>
  <si>
    <t>-2.1625162274386, -79.892682835394</t>
  </si>
  <si>
    <t>LOTERIA MANTA</t>
  </si>
  <si>
    <t>A0042</t>
  </si>
  <si>
    <t>VENT-6</t>
  </si>
  <si>
    <t>-0.946550, -80.722707</t>
  </si>
  <si>
    <t>LOTERIA PLAZA DE LA SUERTE - GANADORES</t>
  </si>
  <si>
    <t>A0043</t>
  </si>
  <si>
    <t>VENT-5</t>
  </si>
  <si>
    <t>-2.192288, -79.881484</t>
  </si>
  <si>
    <t>HOSPITAL ALFREDO G. PAULSON</t>
  </si>
  <si>
    <t>A0044</t>
  </si>
  <si>
    <t>VENT-28</t>
  </si>
  <si>
    <t>SALICA</t>
  </si>
  <si>
    <t>A0046</t>
  </si>
  <si>
    <t>VENT-33</t>
  </si>
  <si>
    <t>TONI PASCUALES</t>
  </si>
  <si>
    <t>A0047</t>
  </si>
  <si>
    <t>VENT-43</t>
  </si>
  <si>
    <t>UEES</t>
  </si>
  <si>
    <t>A0048</t>
  </si>
  <si>
    <t>VENT-36</t>
  </si>
  <si>
    <t>-2.132507, -79.865439</t>
  </si>
  <si>
    <t>AEROPUERTO ADUANAS</t>
  </si>
  <si>
    <t>A0049</t>
  </si>
  <si>
    <t>VENT-30</t>
  </si>
  <si>
    <t>AEROPUERTO J.J. DE OLMEDO</t>
  </si>
  <si>
    <t>A0050</t>
  </si>
  <si>
    <t>VENT-7</t>
  </si>
  <si>
    <t>CENTRO DE ATENCION</t>
  </si>
  <si>
    <t>A0051</t>
  </si>
  <si>
    <t>CENTRO EMPRESARIAL COLON</t>
  </si>
  <si>
    <t>A0052</t>
  </si>
  <si>
    <t>VENT-13</t>
  </si>
  <si>
    <t>DOMINGO COMIN</t>
  </si>
  <si>
    <t>A0053</t>
  </si>
  <si>
    <t>VENT-10</t>
  </si>
  <si>
    <t>HIPERMARKET VERGELES</t>
  </si>
  <si>
    <t>A0054</t>
  </si>
  <si>
    <t>VENT-9</t>
  </si>
  <si>
    <t>HIPERMARKET NORTE</t>
  </si>
  <si>
    <t>A0055</t>
  </si>
  <si>
    <t>VENT-11</t>
  </si>
  <si>
    <t>HIPERMARKET QUEVEDO</t>
  </si>
  <si>
    <t>A0056</t>
  </si>
  <si>
    <t>VENT-22</t>
  </si>
  <si>
    <t>RIOCENTRO SUR</t>
  </si>
  <si>
    <t>A0057</t>
  </si>
  <si>
    <t>VENT-35</t>
  </si>
  <si>
    <t>HOSPITAL ROBERTO GILBERT</t>
  </si>
  <si>
    <t>A0058</t>
  </si>
  <si>
    <t>SN-3</t>
  </si>
  <si>
    <t>MALL EL FORTIN</t>
  </si>
  <si>
    <t>A0059</t>
  </si>
  <si>
    <t>VENT-29</t>
  </si>
  <si>
    <t>MARCELINO MARIDUEÑA</t>
  </si>
  <si>
    <t>A0060</t>
  </si>
  <si>
    <t>VENT-38</t>
  </si>
  <si>
    <t>MONTAÑITA</t>
  </si>
  <si>
    <t>A0061</t>
  </si>
  <si>
    <t>VENT-31</t>
  </si>
  <si>
    <t>PASEO SHOPPING PLAYAS</t>
  </si>
  <si>
    <t>A0062</t>
  </si>
  <si>
    <t>VENT-34</t>
  </si>
  <si>
    <t>PRIMAX ENTRERIOS</t>
  </si>
  <si>
    <t>A0063</t>
  </si>
  <si>
    <t>VENT-24</t>
  </si>
  <si>
    <t>-2.1433243440434, -79.864877980495</t>
  </si>
  <si>
    <t>PUERTO MARITIMO</t>
  </si>
  <si>
    <t>A0064</t>
  </si>
  <si>
    <t>VENT-23</t>
  </si>
  <si>
    <t>RIOCENTRO LOS CEIBOS</t>
  </si>
  <si>
    <t>A0065</t>
  </si>
  <si>
    <t>VENT-25</t>
  </si>
  <si>
    <t>SAI BABA DURAN</t>
  </si>
  <si>
    <t>A0066</t>
  </si>
  <si>
    <t>OF-171</t>
  </si>
  <si>
    <t>TERMINAL TERRESTRE</t>
  </si>
  <si>
    <t>A0067</t>
  </si>
  <si>
    <t>OF-96</t>
  </si>
  <si>
    <t>TERMINAL TERRESTRE PASCUALES</t>
  </si>
  <si>
    <t>A0068</t>
  </si>
  <si>
    <t>VENT-42</t>
  </si>
  <si>
    <t>VIA DAULE</t>
  </si>
  <si>
    <t>A0069</t>
  </si>
  <si>
    <t>VENT-27</t>
  </si>
  <si>
    <t>QUITO AMAZONAS</t>
  </si>
  <si>
    <t>A0073</t>
  </si>
  <si>
    <t>OF-52</t>
  </si>
  <si>
    <t>AMBATO</t>
  </si>
  <si>
    <t>A0074</t>
  </si>
  <si>
    <t>OF-120</t>
  </si>
  <si>
    <t>AZOGUES</t>
  </si>
  <si>
    <t>A0075</t>
  </si>
  <si>
    <t>OF-42</t>
  </si>
  <si>
    <t>QUITO EL RECREO</t>
  </si>
  <si>
    <t>A0076</t>
  </si>
  <si>
    <t>OF-56</t>
  </si>
  <si>
    <t>CUENCA CENTRO</t>
  </si>
  <si>
    <t>A0077</t>
  </si>
  <si>
    <t>OF-41</t>
  </si>
  <si>
    <t>CONDADO SHOPPING</t>
  </si>
  <si>
    <t>A0078</t>
  </si>
  <si>
    <t>OF-169</t>
  </si>
  <si>
    <t>LOJA</t>
  </si>
  <si>
    <t>A0079</t>
  </si>
  <si>
    <t>OF-140</t>
  </si>
  <si>
    <t>QUITO NORTE</t>
  </si>
  <si>
    <t>A0080</t>
  </si>
  <si>
    <t>OF-51</t>
  </si>
  <si>
    <t>QUICENTRO SUR SHOPPING</t>
  </si>
  <si>
    <t>A0081</t>
  </si>
  <si>
    <t>OF-163</t>
  </si>
  <si>
    <t>12 DE OCTUBRE</t>
  </si>
  <si>
    <t>A0082</t>
  </si>
  <si>
    <t>OF-165</t>
  </si>
  <si>
    <t>PORTUGAL</t>
  </si>
  <si>
    <t>A0083</t>
  </si>
  <si>
    <t>OF-167</t>
  </si>
  <si>
    <t>QUITO TENIS</t>
  </si>
  <si>
    <t>A0084</t>
  </si>
  <si>
    <t>OF-166</t>
  </si>
  <si>
    <t>REMIGIO CRESPO TORAL</t>
  </si>
  <si>
    <t>A0085</t>
  </si>
  <si>
    <t>OF-47</t>
  </si>
  <si>
    <t>QUITO SAN LUIS</t>
  </si>
  <si>
    <t>A0086</t>
  </si>
  <si>
    <t>OF-55</t>
  </si>
  <si>
    <t>CC PASEO SAN FRANCISCO</t>
  </si>
  <si>
    <t>A0087</t>
  </si>
  <si>
    <t>OF-164</t>
  </si>
  <si>
    <t>CUENCA</t>
  </si>
  <si>
    <t>A0088</t>
  </si>
  <si>
    <t>OF-40</t>
  </si>
  <si>
    <t>QUITO SUCURSAL MAYOR</t>
  </si>
  <si>
    <t>A0089</t>
  </si>
  <si>
    <t>OF-50</t>
  </si>
  <si>
    <t>ARCA PARQUE INDUSTRIAL CUENCA</t>
  </si>
  <si>
    <t>A0090</t>
  </si>
  <si>
    <t>VENT-14</t>
  </si>
  <si>
    <t>-2.881478, -78.975129</t>
  </si>
  <si>
    <t>ARCA HUAYANAY QUITO</t>
  </si>
  <si>
    <t>A0091</t>
  </si>
  <si>
    <t>VENT-21</t>
  </si>
  <si>
    <t>-0.30416769242810987, -78.54273899138401</t>
  </si>
  <si>
    <t>ARCA CALDERON</t>
  </si>
  <si>
    <t>A0092</t>
  </si>
  <si>
    <t>VENT-19</t>
  </si>
  <si>
    <t>-0.10572923708953, -78.443399190862</t>
  </si>
  <si>
    <t>DIPOR AMAGUAÑA</t>
  </si>
  <si>
    <t>A0097</t>
  </si>
  <si>
    <t>VENT-20</t>
  </si>
  <si>
    <t>-0.34977342693034, -78.458460733189</t>
  </si>
  <si>
    <t>PORTAL SHOPPING</t>
  </si>
  <si>
    <t>A0098</t>
  </si>
  <si>
    <t>OF-168</t>
  </si>
  <si>
    <t>PASEO SHOPPING AMBATO</t>
  </si>
  <si>
    <t>A0099</t>
  </si>
  <si>
    <t>OF-121</t>
  </si>
  <si>
    <t>ARCA OTAVALO</t>
  </si>
  <si>
    <t>A0100</t>
  </si>
  <si>
    <t>VENT-15</t>
  </si>
  <si>
    <t>0.276139, -78.239348</t>
  </si>
  <si>
    <t>San Juan deI lumán</t>
  </si>
  <si>
    <t>Imbabura</t>
  </si>
  <si>
    <t>LOTERIA NACIONAL - 9 OCTUBRE</t>
  </si>
  <si>
    <t>A0101</t>
  </si>
  <si>
    <t>VENT-1</t>
  </si>
  <si>
    <t>-2.1902874256513, -79.886598144368</t>
  </si>
  <si>
    <t xml:space="preserve"> RÍO PLAZA</t>
  </si>
  <si>
    <t>A0102</t>
  </si>
  <si>
    <t>OF</t>
  </si>
  <si>
    <t>CATOLICA</t>
  </si>
  <si>
    <t>A0105</t>
  </si>
  <si>
    <t>VENT-86.1</t>
  </si>
  <si>
    <t>UNIV. SAN FRANCISCO DE QUITO</t>
  </si>
  <si>
    <t>A0106</t>
  </si>
  <si>
    <t>VENT-164.1</t>
  </si>
  <si>
    <t>150</t>
  </si>
  <si>
    <t>291</t>
  </si>
  <si>
    <t>145</t>
  </si>
  <si>
    <t>447</t>
  </si>
  <si>
    <t>228</t>
  </si>
  <si>
    <t>443</t>
  </si>
  <si>
    <t>548</t>
  </si>
  <si>
    <t>399</t>
  </si>
  <si>
    <t>396</t>
  </si>
  <si>
    <t>108</t>
  </si>
  <si>
    <t>398</t>
  </si>
  <si>
    <t>402</t>
  </si>
  <si>
    <t>422</t>
  </si>
  <si>
    <t>397</t>
  </si>
  <si>
    <t>395</t>
  </si>
  <si>
    <t>351</t>
  </si>
  <si>
    <t>134</t>
  </si>
  <si>
    <t>195</t>
  </si>
  <si>
    <t>380</t>
  </si>
  <si>
    <t>427</t>
  </si>
  <si>
    <t>445</t>
  </si>
  <si>
    <t>437</t>
  </si>
  <si>
    <t>249</t>
  </si>
  <si>
    <t>496</t>
  </si>
  <si>
    <t>463</t>
  </si>
  <si>
    <t>16</t>
  </si>
  <si>
    <t>110</t>
  </si>
  <si>
    <t>426</t>
  </si>
  <si>
    <t>76</t>
  </si>
  <si>
    <t>78</t>
  </si>
  <si>
    <t>19</t>
  </si>
  <si>
    <t>93</t>
  </si>
  <si>
    <t>140</t>
  </si>
  <si>
    <t>484</t>
  </si>
  <si>
    <t>65</t>
  </si>
  <si>
    <t>64</t>
  </si>
  <si>
    <t>102</t>
  </si>
  <si>
    <t>66</t>
  </si>
  <si>
    <t>296</t>
  </si>
  <si>
    <t>294</t>
  </si>
  <si>
    <t>57</t>
  </si>
  <si>
    <t>107</t>
  </si>
  <si>
    <t>23</t>
  </si>
  <si>
    <t>30</t>
  </si>
  <si>
    <t>86</t>
  </si>
  <si>
    <t>333</t>
  </si>
  <si>
    <t>142</t>
  </si>
  <si>
    <t>35</t>
  </si>
  <si>
    <t>114</t>
  </si>
  <si>
    <t>13</t>
  </si>
  <si>
    <t>89</t>
  </si>
  <si>
    <t>453</t>
  </si>
  <si>
    <t>268</t>
  </si>
  <si>
    <t>321</t>
  </si>
  <si>
    <t>329</t>
  </si>
  <si>
    <t>330</t>
  </si>
  <si>
    <t>375</t>
  </si>
  <si>
    <t>510</t>
  </si>
  <si>
    <t>339</t>
  </si>
  <si>
    <t>489</t>
  </si>
  <si>
    <t>456</t>
  </si>
  <si>
    <t>513</t>
  </si>
  <si>
    <t>250</t>
  </si>
  <si>
    <t>435</t>
  </si>
  <si>
    <t>448</t>
  </si>
  <si>
    <t>520</t>
  </si>
  <si>
    <t>299</t>
  </si>
  <si>
    <t>550</t>
  </si>
  <si>
    <t>483</t>
  </si>
  <si>
    <t>431</t>
  </si>
  <si>
    <t>444</t>
  </si>
  <si>
    <t>534</t>
  </si>
  <si>
    <t>497</t>
  </si>
  <si>
    <t>546</t>
  </si>
  <si>
    <t>511</t>
  </si>
  <si>
    <t>334</t>
  </si>
  <si>
    <t>131</t>
  </si>
  <si>
    <t>451</t>
  </si>
  <si>
    <t>117</t>
  </si>
  <si>
    <t>125</t>
  </si>
  <si>
    <t>151</t>
  </si>
  <si>
    <t>210</t>
  </si>
  <si>
    <t>394</t>
  </si>
  <si>
    <t>458</t>
  </si>
  <si>
    <t>233</t>
  </si>
  <si>
    <t>247</t>
  </si>
  <si>
    <t>21</t>
  </si>
  <si>
    <t>429</t>
  </si>
  <si>
    <t>159</t>
  </si>
  <si>
    <t>474</t>
  </si>
  <si>
    <t>352</t>
  </si>
  <si>
    <t>17</t>
  </si>
  <si>
    <t>464</t>
  </si>
  <si>
    <t>367</t>
  </si>
  <si>
    <t>455</t>
  </si>
  <si>
    <t>545</t>
  </si>
  <si>
    <t>355</t>
  </si>
  <si>
    <t>261</t>
  </si>
  <si>
    <t>350</t>
  </si>
  <si>
    <t>454</t>
  </si>
  <si>
    <t>478</t>
  </si>
  <si>
    <t>348</t>
  </si>
  <si>
    <t>372</t>
  </si>
  <si>
    <t>22</t>
  </si>
  <si>
    <t>91</t>
  </si>
  <si>
    <t>531</t>
  </si>
  <si>
    <t>190</t>
  </si>
  <si>
    <t>152</t>
  </si>
  <si>
    <t>472</t>
  </si>
  <si>
    <t>532</t>
  </si>
  <si>
    <t>118</t>
  </si>
  <si>
    <t>388</t>
  </si>
  <si>
    <t>322</t>
  </si>
  <si>
    <t>96</t>
  </si>
  <si>
    <t>106</t>
  </si>
  <si>
    <t>407</t>
  </si>
  <si>
    <t>418</t>
  </si>
  <si>
    <t>465</t>
  </si>
  <si>
    <t>199</t>
  </si>
  <si>
    <t>477</t>
  </si>
  <si>
    <t>415</t>
  </si>
  <si>
    <t>414</t>
  </si>
  <si>
    <t>408</t>
  </si>
  <si>
    <t>480</t>
  </si>
  <si>
    <t>552</t>
  </si>
  <si>
    <t>383</t>
  </si>
  <si>
    <t>432</t>
  </si>
  <si>
    <t>301</t>
  </si>
  <si>
    <t>216</t>
  </si>
  <si>
    <t>413</t>
  </si>
  <si>
    <t>533</t>
  </si>
  <si>
    <t>295</t>
  </si>
  <si>
    <t>473</t>
  </si>
  <si>
    <t>538</t>
  </si>
  <si>
    <t>539</t>
  </si>
  <si>
    <t>521</t>
  </si>
  <si>
    <t>499</t>
  </si>
  <si>
    <t>409</t>
  </si>
  <si>
    <t>417</t>
  </si>
  <si>
    <t>436</t>
  </si>
  <si>
    <t>160</t>
  </si>
  <si>
    <t>356</t>
  </si>
  <si>
    <t>377</t>
  </si>
  <si>
    <t>353</t>
  </si>
  <si>
    <t>61</t>
  </si>
  <si>
    <t>4</t>
  </si>
  <si>
    <t>165</t>
  </si>
  <si>
    <t>166</t>
  </si>
  <si>
    <t>51</t>
  </si>
  <si>
    <t>470</t>
  </si>
  <si>
    <t>8</t>
  </si>
  <si>
    <t>48</t>
  </si>
  <si>
    <t>172</t>
  </si>
  <si>
    <t>77</t>
  </si>
  <si>
    <t>42</t>
  </si>
  <si>
    <t>9</t>
  </si>
  <si>
    <t>219</t>
  </si>
  <si>
    <t>10</t>
  </si>
  <si>
    <t>33</t>
  </si>
  <si>
    <t>105</t>
  </si>
  <si>
    <t>385</t>
  </si>
  <si>
    <t>40</t>
  </si>
  <si>
    <t>154</t>
  </si>
  <si>
    <t>60</t>
  </si>
  <si>
    <t>387</t>
  </si>
  <si>
    <t>97</t>
  </si>
  <si>
    <t>54</t>
  </si>
  <si>
    <t>369</t>
  </si>
  <si>
    <t>62</t>
  </si>
  <si>
    <t>7</t>
  </si>
  <si>
    <t>476</t>
  </si>
  <si>
    <t>28</t>
  </si>
  <si>
    <t>67</t>
  </si>
  <si>
    <t>44</t>
  </si>
  <si>
    <t>45</t>
  </si>
  <si>
    <t>214</t>
  </si>
  <si>
    <t>215</t>
  </si>
  <si>
    <t>505</t>
  </si>
  <si>
    <t>506</t>
  </si>
  <si>
    <t>508</t>
  </si>
  <si>
    <t>519</t>
  </si>
  <si>
    <t>15</t>
  </si>
  <si>
    <t>63</t>
  </si>
  <si>
    <t>360</t>
  </si>
  <si>
    <t>58</t>
  </si>
  <si>
    <t>34</t>
  </si>
  <si>
    <t>6</t>
  </si>
  <si>
    <t>373</t>
  </si>
  <si>
    <t>297</t>
  </si>
  <si>
    <t>312</t>
  </si>
  <si>
    <t>5</t>
  </si>
  <si>
    <t>43</t>
  </si>
  <si>
    <t>11</t>
  </si>
  <si>
    <t>12</t>
  </si>
  <si>
    <t>2</t>
  </si>
  <si>
    <t>52</t>
  </si>
  <si>
    <t>368</t>
  </si>
  <si>
    <t>392</t>
  </si>
  <si>
    <t>446</t>
  </si>
  <si>
    <t>391</t>
  </si>
  <si>
    <t>498</t>
  </si>
  <si>
    <t>450</t>
  </si>
  <si>
    <t>549</t>
  </si>
  <si>
    <t>507</t>
  </si>
  <si>
    <t>518</t>
  </si>
  <si>
    <t>325</t>
  </si>
  <si>
    <t>278</t>
  </si>
  <si>
    <t>547</t>
  </si>
  <si>
    <t>326</t>
  </si>
  <si>
    <t>87</t>
  </si>
  <si>
    <t>342</t>
  </si>
  <si>
    <t>379</t>
  </si>
  <si>
    <t>482</t>
  </si>
  <si>
    <t>120</t>
  </si>
  <si>
    <t>419</t>
  </si>
  <si>
    <t>101</t>
  </si>
  <si>
    <t>47</t>
  </si>
  <si>
    <t>292</t>
  </si>
  <si>
    <t>421</t>
  </si>
  <si>
    <t>82</t>
  </si>
  <si>
    <t>522</t>
  </si>
  <si>
    <t>73</t>
  </si>
  <si>
    <t>280</t>
  </si>
  <si>
    <t>403</t>
  </si>
  <si>
    <t>424</t>
  </si>
  <si>
    <t>198</t>
  </si>
  <si>
    <t>487</t>
  </si>
  <si>
    <t>200</t>
  </si>
  <si>
    <t>468</t>
  </si>
  <si>
    <t>300</t>
  </si>
  <si>
    <t>81</t>
  </si>
  <si>
    <t>457</t>
  </si>
  <si>
    <t>514</t>
  </si>
  <si>
    <t>528</t>
  </si>
  <si>
    <t>490</t>
  </si>
  <si>
    <t>324</t>
  </si>
  <si>
    <t>317</t>
  </si>
  <si>
    <t>361</t>
  </si>
  <si>
    <t>284</t>
  </si>
  <si>
    <t>277</t>
  </si>
  <si>
    <t>283</t>
  </si>
  <si>
    <t>316</t>
  </si>
  <si>
    <t>449</t>
  </si>
  <si>
    <t>90</t>
  </si>
  <si>
    <t>434</t>
  </si>
  <si>
    <t>282</t>
  </si>
  <si>
    <t>406</t>
  </si>
  <si>
    <t>423</t>
  </si>
  <si>
    <t>501</t>
  </si>
  <si>
    <t>512</t>
  </si>
  <si>
    <t>371</t>
  </si>
  <si>
    <t>314</t>
  </si>
  <si>
    <t>164</t>
  </si>
  <si>
    <t>517</t>
  </si>
  <si>
    <t>221</t>
  </si>
  <si>
    <t>203</t>
  </si>
  <si>
    <t>525</t>
  </si>
  <si>
    <t>349</t>
  </si>
  <si>
    <t>153</t>
  </si>
  <si>
    <t>515</t>
  </si>
  <si>
    <t>495</t>
  </si>
  <si>
    <t>251</t>
  </si>
  <si>
    <t>336</t>
  </si>
  <si>
    <t>404</t>
  </si>
  <si>
    <t>544</t>
  </si>
  <si>
    <t>202</t>
  </si>
  <si>
    <t>193</t>
  </si>
  <si>
    <t>363</t>
  </si>
  <si>
    <t>386</t>
  </si>
  <si>
    <t>529</t>
  </si>
  <si>
    <t>346</t>
  </si>
  <si>
    <t>141</t>
  </si>
  <si>
    <t>116</t>
  </si>
  <si>
    <t>238</t>
  </si>
  <si>
    <t>460</t>
  </si>
  <si>
    <t>189</t>
  </si>
  <si>
    <t>332</t>
  </si>
  <si>
    <t>389</t>
  </si>
  <si>
    <t>293</t>
  </si>
  <si>
    <t>245</t>
  </si>
  <si>
    <t>370</t>
  </si>
  <si>
    <t>185</t>
  </si>
  <si>
    <t>411</t>
  </si>
  <si>
    <t>509</t>
  </si>
  <si>
    <t>146</t>
  </si>
  <si>
    <t>143</t>
  </si>
  <si>
    <t>188</t>
  </si>
  <si>
    <t>541</t>
  </si>
  <si>
    <t>400</t>
  </si>
  <si>
    <t>302</t>
  </si>
  <si>
    <t>158</t>
  </si>
  <si>
    <t>274</t>
  </si>
  <si>
    <t>393</t>
  </si>
  <si>
    <t>524</t>
  </si>
  <si>
    <t>123</t>
  </si>
  <si>
    <t>92</t>
  </si>
  <si>
    <t>253</t>
  </si>
  <si>
    <t>218</t>
  </si>
  <si>
    <t>530</t>
  </si>
  <si>
    <t>537</t>
  </si>
  <si>
    <t>540</t>
  </si>
  <si>
    <t>543</t>
  </si>
  <si>
    <t>527</t>
  </si>
  <si>
    <t>526</t>
  </si>
  <si>
    <t>523</t>
  </si>
  <si>
    <t>555</t>
  </si>
  <si>
    <t>554</t>
  </si>
  <si>
    <t>553</t>
  </si>
  <si>
    <t>551</t>
  </si>
  <si>
    <t>55</t>
  </si>
  <si>
    <t>104</t>
  </si>
  <si>
    <t>439</t>
  </si>
  <si>
    <t>461</t>
  </si>
  <si>
    <t>RÍO PLAZA</t>
  </si>
  <si>
    <t>PUNTO</t>
  </si>
  <si>
    <t>C.C. RIOCENTRO ENTRE RIOS AUTOB</t>
  </si>
  <si>
    <t>ALBORADA AUTOCAJERO</t>
  </si>
  <si>
    <t>LOS CEIBOS AUTOCAJERO</t>
  </si>
  <si>
    <t>No cuenta</t>
  </si>
  <si>
    <t>YOURS</t>
  </si>
  <si>
    <t>OF-191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</si>
</sst>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esktop\Bases%20Excel\Status%20El%20Nino%20BB%201.xlsx" TargetMode="External"/><Relationship Id="rId1" Type="http://schemas.openxmlformats.org/officeDocument/2006/relationships/externalLinkPath" Target="/Users/jjrodrir/Desktop/Bases%20Excel/Status%20El%20Nino%20BB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Evalua"/>
      <sheetName val="Hoja2"/>
      <sheetName val="Hoja3"/>
    </sheetNames>
    <sheetDataSet>
      <sheetData sheetId="0">
        <row r="1">
          <cell r="A1" t="str">
            <v>COD</v>
          </cell>
        </row>
        <row r="2">
          <cell r="A2" t="str">
            <v>353</v>
          </cell>
        </row>
        <row r="3">
          <cell r="A3" t="str">
            <v>A0082</v>
          </cell>
        </row>
        <row r="4">
          <cell r="A4" t="str">
            <v>61</v>
          </cell>
        </row>
        <row r="5">
          <cell r="A5" t="str">
            <v>A0001</v>
          </cell>
        </row>
        <row r="6">
          <cell r="A6" t="str">
            <v>291</v>
          </cell>
        </row>
        <row r="7">
          <cell r="A7" t="str">
            <v>A0049</v>
          </cell>
        </row>
        <row r="8">
          <cell r="A8" t="str">
            <v>145</v>
          </cell>
        </row>
        <row r="9">
          <cell r="A9" t="str">
            <v>A0050</v>
          </cell>
        </row>
        <row r="10">
          <cell r="A10" t="str">
            <v>165</v>
          </cell>
        </row>
        <row r="11">
          <cell r="A11" t="str">
            <v>166</v>
          </cell>
        </row>
        <row r="12">
          <cell r="A12" t="str">
            <v>A0003</v>
          </cell>
        </row>
        <row r="13">
          <cell r="A13" t="str">
            <v>4</v>
          </cell>
        </row>
        <row r="14">
          <cell r="A14" t="str">
            <v>51</v>
          </cell>
        </row>
        <row r="15">
          <cell r="A15" t="str">
            <v>470</v>
          </cell>
        </row>
        <row r="16">
          <cell r="A16" t="str">
            <v>A0002</v>
          </cell>
        </row>
        <row r="17">
          <cell r="A17" t="str">
            <v>48</v>
          </cell>
        </row>
        <row r="18">
          <cell r="A18" t="str">
            <v>A0074</v>
          </cell>
        </row>
        <row r="19">
          <cell r="A19" t="str">
            <v>A0092</v>
          </cell>
        </row>
        <row r="20">
          <cell r="A20" t="str">
            <v>A0091</v>
          </cell>
        </row>
        <row r="21">
          <cell r="A21" t="str">
            <v>A0035</v>
          </cell>
        </row>
        <row r="22">
          <cell r="A22" t="str">
            <v>A0100</v>
          </cell>
        </row>
        <row r="23">
          <cell r="A23" t="str">
            <v>A0090</v>
          </cell>
        </row>
        <row r="24">
          <cell r="A24" t="str">
            <v>402</v>
          </cell>
        </row>
        <row r="25">
          <cell r="A25" t="str">
            <v>A0037</v>
          </cell>
        </row>
        <row r="26">
          <cell r="A26" t="str">
            <v>422</v>
          </cell>
        </row>
        <row r="27">
          <cell r="A27" t="str">
            <v>A0038</v>
          </cell>
        </row>
        <row r="28">
          <cell r="A28" t="str">
            <v>A0039</v>
          </cell>
        </row>
        <row r="29">
          <cell r="A29" t="str">
            <v>A0040</v>
          </cell>
        </row>
        <row r="30">
          <cell r="A30" t="str">
            <v>A0036</v>
          </cell>
        </row>
        <row r="31">
          <cell r="A31" t="str">
            <v>150</v>
          </cell>
        </row>
        <row r="32">
          <cell r="A32" t="str">
            <v>443</v>
          </cell>
        </row>
        <row r="33">
          <cell r="A33" t="str">
            <v>548</v>
          </cell>
        </row>
        <row r="34">
          <cell r="A34" t="str">
            <v>399</v>
          </cell>
        </row>
        <row r="35">
          <cell r="A35" t="str">
            <v>398</v>
          </cell>
        </row>
        <row r="36">
          <cell r="A36" t="str">
            <v>396</v>
          </cell>
        </row>
        <row r="37">
          <cell r="A37" t="str">
            <v>397</v>
          </cell>
        </row>
        <row r="38">
          <cell r="A38" t="str">
            <v>395</v>
          </cell>
        </row>
        <row r="39">
          <cell r="A39" t="str">
            <v>108</v>
          </cell>
        </row>
        <row r="40">
          <cell r="A40" t="str">
            <v>437</v>
          </cell>
        </row>
        <row r="41">
          <cell r="A41" t="str">
            <v>249</v>
          </cell>
        </row>
        <row r="42">
          <cell r="A42" t="str">
            <v>496</v>
          </cell>
        </row>
        <row r="43">
          <cell r="A43" t="str">
            <v>78</v>
          </cell>
        </row>
        <row r="44">
          <cell r="A44" t="str">
            <v>19</v>
          </cell>
        </row>
        <row r="45">
          <cell r="A45" t="str">
            <v>484</v>
          </cell>
        </row>
        <row r="46">
          <cell r="A46" t="str">
            <v>65</v>
          </cell>
        </row>
        <row r="47">
          <cell r="A47" t="str">
            <v>64</v>
          </cell>
        </row>
        <row r="48">
          <cell r="A48" t="str">
            <v>102</v>
          </cell>
        </row>
        <row r="49">
          <cell r="A49" t="str">
            <v>66</v>
          </cell>
        </row>
        <row r="50">
          <cell r="A50" t="str">
            <v>294</v>
          </cell>
        </row>
        <row r="51">
          <cell r="A51" t="str">
            <v>30</v>
          </cell>
        </row>
        <row r="52">
          <cell r="A52" t="str">
            <v>86</v>
          </cell>
        </row>
        <row r="53">
          <cell r="A53" t="str">
            <v>453</v>
          </cell>
        </row>
        <row r="54">
          <cell r="A54" t="str">
            <v>268</v>
          </cell>
        </row>
        <row r="55">
          <cell r="A55" t="str">
            <v>321</v>
          </cell>
        </row>
        <row r="56">
          <cell r="A56" t="str">
            <v>510</v>
          </cell>
        </row>
        <row r="57">
          <cell r="A57" t="str">
            <v>489</v>
          </cell>
        </row>
        <row r="58">
          <cell r="A58" t="str">
            <v>456</v>
          </cell>
        </row>
        <row r="59">
          <cell r="A59" t="str">
            <v>513</v>
          </cell>
        </row>
        <row r="60">
          <cell r="A60" t="str">
            <v>250</v>
          </cell>
        </row>
        <row r="61">
          <cell r="A61" t="str">
            <v>435</v>
          </cell>
        </row>
        <row r="62">
          <cell r="A62" t="str">
            <v>448</v>
          </cell>
        </row>
        <row r="63">
          <cell r="A63" t="str">
            <v>299</v>
          </cell>
        </row>
        <row r="64">
          <cell r="A64" t="str">
            <v>550</v>
          </cell>
        </row>
        <row r="65">
          <cell r="A65" t="str">
            <v>483</v>
          </cell>
        </row>
        <row r="66">
          <cell r="A66" t="str">
            <v>431</v>
          </cell>
        </row>
        <row r="67">
          <cell r="A67" t="str">
            <v>444</v>
          </cell>
        </row>
        <row r="68">
          <cell r="A68" t="str">
            <v>534</v>
          </cell>
        </row>
        <row r="69">
          <cell r="A69" t="str">
            <v>497</v>
          </cell>
        </row>
        <row r="70">
          <cell r="A70" t="str">
            <v>546</v>
          </cell>
        </row>
        <row r="71">
          <cell r="A71" t="str">
            <v>511</v>
          </cell>
        </row>
        <row r="72">
          <cell r="A72" t="str">
            <v>334</v>
          </cell>
        </row>
        <row r="73">
          <cell r="A73" t="str">
            <v>131</v>
          </cell>
        </row>
        <row r="74">
          <cell r="A74" t="str">
            <v>451</v>
          </cell>
        </row>
        <row r="75">
          <cell r="A75" t="str">
            <v>117</v>
          </cell>
        </row>
        <row r="76">
          <cell r="A76" t="str">
            <v>125</v>
          </cell>
        </row>
        <row r="77">
          <cell r="A77" t="str">
            <v>151</v>
          </cell>
        </row>
        <row r="78">
          <cell r="A78" t="str">
            <v>210</v>
          </cell>
        </row>
        <row r="79">
          <cell r="A79" t="str">
            <v>394</v>
          </cell>
        </row>
        <row r="80">
          <cell r="A80" t="str">
            <v>458</v>
          </cell>
        </row>
        <row r="81">
          <cell r="A81" t="str">
            <v>233</v>
          </cell>
        </row>
        <row r="82">
          <cell r="A82" t="str">
            <v>247</v>
          </cell>
        </row>
        <row r="83">
          <cell r="A83" t="str">
            <v>429</v>
          </cell>
        </row>
        <row r="84">
          <cell r="A84" t="str">
            <v>159</v>
          </cell>
        </row>
        <row r="85">
          <cell r="A85" t="str">
            <v>474</v>
          </cell>
        </row>
        <row r="86">
          <cell r="A86" t="str">
            <v>352</v>
          </cell>
        </row>
        <row r="87">
          <cell r="A87" t="str">
            <v>17</v>
          </cell>
        </row>
        <row r="88">
          <cell r="A88" t="str">
            <v>464</v>
          </cell>
        </row>
        <row r="89">
          <cell r="A89" t="str">
            <v>367</v>
          </cell>
        </row>
        <row r="90">
          <cell r="A90" t="str">
            <v>455</v>
          </cell>
        </row>
        <row r="91">
          <cell r="A91" t="str">
            <v>545</v>
          </cell>
        </row>
        <row r="92">
          <cell r="A92" t="str">
            <v>355</v>
          </cell>
        </row>
        <row r="93">
          <cell r="A93" t="str">
            <v>261</v>
          </cell>
        </row>
        <row r="94">
          <cell r="A94" t="str">
            <v>350</v>
          </cell>
        </row>
        <row r="95">
          <cell r="A95" t="str">
            <v>454</v>
          </cell>
        </row>
        <row r="96">
          <cell r="A96" t="str">
            <v>478</v>
          </cell>
        </row>
        <row r="97">
          <cell r="A97" t="str">
            <v>348</v>
          </cell>
        </row>
        <row r="98">
          <cell r="A98" t="str">
            <v>372</v>
          </cell>
        </row>
        <row r="99">
          <cell r="A99" t="str">
            <v>91</v>
          </cell>
        </row>
        <row r="100">
          <cell r="A100" t="str">
            <v>531</v>
          </cell>
        </row>
        <row r="101">
          <cell r="A101" t="str">
            <v>190</v>
          </cell>
        </row>
        <row r="102">
          <cell r="A102" t="str">
            <v>152</v>
          </cell>
        </row>
        <row r="103">
          <cell r="A103" t="str">
            <v>472</v>
          </cell>
        </row>
        <row r="104">
          <cell r="A104" t="str">
            <v>532</v>
          </cell>
        </row>
        <row r="105">
          <cell r="A105" t="str">
            <v>118</v>
          </cell>
        </row>
        <row r="106">
          <cell r="A106" t="str">
            <v>388</v>
          </cell>
        </row>
        <row r="107">
          <cell r="A107" t="str">
            <v>106</v>
          </cell>
        </row>
        <row r="108">
          <cell r="A108" t="str">
            <v>407</v>
          </cell>
        </row>
        <row r="109">
          <cell r="A109" t="str">
            <v>418</v>
          </cell>
        </row>
        <row r="110">
          <cell r="A110" t="str">
            <v>465</v>
          </cell>
        </row>
        <row r="111">
          <cell r="A111" t="str">
            <v>199</v>
          </cell>
        </row>
        <row r="112">
          <cell r="A112" t="str">
            <v>477</v>
          </cell>
        </row>
        <row r="113">
          <cell r="A113" t="str">
            <v>415</v>
          </cell>
        </row>
        <row r="114">
          <cell r="A114" t="str">
            <v>408</v>
          </cell>
        </row>
        <row r="115">
          <cell r="A115" t="str">
            <v>480</v>
          </cell>
        </row>
        <row r="116">
          <cell r="A116" t="str">
            <v>301</v>
          </cell>
        </row>
        <row r="117">
          <cell r="A117" t="str">
            <v>216</v>
          </cell>
        </row>
        <row r="118">
          <cell r="A118" t="str">
            <v>533</v>
          </cell>
        </row>
        <row r="119">
          <cell r="A119" t="str">
            <v>295</v>
          </cell>
        </row>
        <row r="120">
          <cell r="A120" t="str">
            <v>473</v>
          </cell>
        </row>
        <row r="121">
          <cell r="A121" t="str">
            <v>538</v>
          </cell>
        </row>
        <row r="122">
          <cell r="A122" t="str">
            <v>539</v>
          </cell>
        </row>
        <row r="123">
          <cell r="A123" t="str">
            <v>521</v>
          </cell>
        </row>
        <row r="124">
          <cell r="A124" t="str">
            <v>499</v>
          </cell>
        </row>
        <row r="125">
          <cell r="A125" t="str">
            <v>409</v>
          </cell>
        </row>
        <row r="126">
          <cell r="A126" t="str">
            <v>417</v>
          </cell>
        </row>
        <row r="127">
          <cell r="A127" t="str">
            <v>436</v>
          </cell>
        </row>
        <row r="128">
          <cell r="A128" t="str">
            <v>160</v>
          </cell>
        </row>
        <row r="129">
          <cell r="A129" t="str">
            <v>368</v>
          </cell>
        </row>
        <row r="130">
          <cell r="A130" t="str">
            <v>392</v>
          </cell>
        </row>
        <row r="131">
          <cell r="A131" t="str">
            <v>446</v>
          </cell>
        </row>
        <row r="132">
          <cell r="A132" t="str">
            <v>391</v>
          </cell>
        </row>
        <row r="133">
          <cell r="A133" t="str">
            <v>498</v>
          </cell>
        </row>
        <row r="134">
          <cell r="A134" t="str">
            <v>450</v>
          </cell>
        </row>
        <row r="135">
          <cell r="A135" t="str">
            <v>549</v>
          </cell>
        </row>
        <row r="136">
          <cell r="A136" t="str">
            <v>507</v>
          </cell>
        </row>
        <row r="137">
          <cell r="A137" t="str">
            <v>518</v>
          </cell>
        </row>
        <row r="138">
          <cell r="A138" t="str">
            <v>325</v>
          </cell>
        </row>
        <row r="139">
          <cell r="A139" t="str">
            <v>278</v>
          </cell>
        </row>
        <row r="140">
          <cell r="A140" t="str">
            <v>547</v>
          </cell>
        </row>
        <row r="141">
          <cell r="A141" t="str">
            <v>326</v>
          </cell>
        </row>
        <row r="142">
          <cell r="A142" t="str">
            <v>87</v>
          </cell>
        </row>
        <row r="143">
          <cell r="A143" t="str">
            <v>342</v>
          </cell>
        </row>
        <row r="144">
          <cell r="A144" t="str">
            <v>379</v>
          </cell>
        </row>
        <row r="145">
          <cell r="A145" t="str">
            <v>482</v>
          </cell>
        </row>
        <row r="146">
          <cell r="A146" t="str">
            <v>120</v>
          </cell>
        </row>
        <row r="147">
          <cell r="A147" t="str">
            <v>419</v>
          </cell>
        </row>
        <row r="148">
          <cell r="A148" t="str">
            <v>47</v>
          </cell>
        </row>
        <row r="149">
          <cell r="A149" t="str">
            <v>292</v>
          </cell>
        </row>
        <row r="150">
          <cell r="A150" t="str">
            <v>421</v>
          </cell>
        </row>
        <row r="151">
          <cell r="A151" t="str">
            <v>82</v>
          </cell>
        </row>
        <row r="152">
          <cell r="A152" t="str">
            <v>522</v>
          </cell>
        </row>
        <row r="153">
          <cell r="A153" t="str">
            <v>73</v>
          </cell>
        </row>
        <row r="154">
          <cell r="A154" t="str">
            <v>280</v>
          </cell>
        </row>
        <row r="155">
          <cell r="A155" t="str">
            <v>403</v>
          </cell>
        </row>
        <row r="156">
          <cell r="A156" t="str">
            <v>424</v>
          </cell>
        </row>
        <row r="157">
          <cell r="A157" t="str">
            <v>198</v>
          </cell>
        </row>
        <row r="158">
          <cell r="A158" t="str">
            <v>487</v>
          </cell>
        </row>
        <row r="159">
          <cell r="A159" t="str">
            <v>200</v>
          </cell>
        </row>
        <row r="160">
          <cell r="A160" t="str">
            <v>468</v>
          </cell>
        </row>
        <row r="161">
          <cell r="A161" t="str">
            <v>300</v>
          </cell>
        </row>
        <row r="162">
          <cell r="A162" t="str">
            <v>81</v>
          </cell>
        </row>
        <row r="163">
          <cell r="A163" t="str">
            <v>457</v>
          </cell>
        </row>
        <row r="164">
          <cell r="A164" t="str">
            <v>514</v>
          </cell>
        </row>
        <row r="165">
          <cell r="A165" t="str">
            <v>528</v>
          </cell>
        </row>
        <row r="166">
          <cell r="A166" t="str">
            <v>490</v>
          </cell>
        </row>
        <row r="167">
          <cell r="A167" t="str">
            <v>324</v>
          </cell>
        </row>
        <row r="168">
          <cell r="A168" t="str">
            <v>317</v>
          </cell>
        </row>
        <row r="169">
          <cell r="A169" t="str">
            <v>361</v>
          </cell>
        </row>
        <row r="170">
          <cell r="A170" t="str">
            <v>284</v>
          </cell>
        </row>
        <row r="171">
          <cell r="A171" t="str">
            <v>277</v>
          </cell>
        </row>
        <row r="172">
          <cell r="A172" t="str">
            <v>283</v>
          </cell>
        </row>
        <row r="173">
          <cell r="A173" t="str">
            <v>316</v>
          </cell>
        </row>
        <row r="174">
          <cell r="A174" t="str">
            <v>449</v>
          </cell>
        </row>
        <row r="175">
          <cell r="A175" t="str">
            <v>90</v>
          </cell>
        </row>
        <row r="176">
          <cell r="A176" t="str">
            <v>406</v>
          </cell>
        </row>
        <row r="177">
          <cell r="A177" t="str">
            <v>501</v>
          </cell>
        </row>
        <row r="178">
          <cell r="A178" t="str">
            <v>371</v>
          </cell>
        </row>
        <row r="179">
          <cell r="A179" t="str">
            <v>314</v>
          </cell>
        </row>
        <row r="180">
          <cell r="A180" t="str">
            <v>164</v>
          </cell>
        </row>
        <row r="181">
          <cell r="A181" t="str">
            <v>517</v>
          </cell>
        </row>
        <row r="182">
          <cell r="A182" t="str">
            <v>221</v>
          </cell>
        </row>
        <row r="183">
          <cell r="A183" t="str">
            <v>153</v>
          </cell>
        </row>
        <row r="184">
          <cell r="A184" t="str">
            <v>515</v>
          </cell>
        </row>
        <row r="185">
          <cell r="A185" t="str">
            <v>495</v>
          </cell>
        </row>
        <row r="186">
          <cell r="A186" t="str">
            <v>251</v>
          </cell>
        </row>
        <row r="187">
          <cell r="A187" t="str">
            <v>336</v>
          </cell>
        </row>
        <row r="188">
          <cell r="A188" t="str">
            <v>544</v>
          </cell>
        </row>
        <row r="189">
          <cell r="A189" t="str">
            <v>529</v>
          </cell>
        </row>
        <row r="190">
          <cell r="A190" t="str">
            <v>346</v>
          </cell>
        </row>
        <row r="191">
          <cell r="A191" t="str">
            <v>141</v>
          </cell>
        </row>
        <row r="192">
          <cell r="A192" t="str">
            <v>116</v>
          </cell>
        </row>
        <row r="193">
          <cell r="A193" t="str">
            <v>238</v>
          </cell>
        </row>
        <row r="194">
          <cell r="A194" t="str">
            <v>460</v>
          </cell>
        </row>
        <row r="195">
          <cell r="A195" t="str">
            <v>189</v>
          </cell>
        </row>
        <row r="196">
          <cell r="A196" t="str">
            <v>332</v>
          </cell>
        </row>
        <row r="197">
          <cell r="A197" t="str">
            <v>389</v>
          </cell>
        </row>
        <row r="198">
          <cell r="A198" t="str">
            <v>293</v>
          </cell>
        </row>
        <row r="199">
          <cell r="A199" t="str">
            <v>245</v>
          </cell>
        </row>
        <row r="200">
          <cell r="A200" t="str">
            <v>370</v>
          </cell>
        </row>
        <row r="201">
          <cell r="A201" t="str">
            <v>185</v>
          </cell>
        </row>
        <row r="202">
          <cell r="A202" t="str">
            <v>411</v>
          </cell>
        </row>
        <row r="203">
          <cell r="A203" t="str">
            <v>509</v>
          </cell>
        </row>
        <row r="204">
          <cell r="A204" t="str">
            <v>146</v>
          </cell>
        </row>
        <row r="205">
          <cell r="A205" t="str">
            <v>143</v>
          </cell>
        </row>
        <row r="206">
          <cell r="A206" t="str">
            <v>188</v>
          </cell>
        </row>
        <row r="207">
          <cell r="A207" t="str">
            <v>541</v>
          </cell>
        </row>
        <row r="208">
          <cell r="A208" t="str">
            <v>400</v>
          </cell>
        </row>
        <row r="209">
          <cell r="A209" t="str">
            <v>302</v>
          </cell>
        </row>
        <row r="210">
          <cell r="A210" t="str">
            <v>158</v>
          </cell>
        </row>
        <row r="211">
          <cell r="A211" t="str">
            <v>274</v>
          </cell>
        </row>
        <row r="212">
          <cell r="A212" t="str">
            <v>393</v>
          </cell>
        </row>
        <row r="213">
          <cell r="A213" t="str">
            <v>524</v>
          </cell>
        </row>
        <row r="214">
          <cell r="A214" t="str">
            <v>123</v>
          </cell>
        </row>
        <row r="215">
          <cell r="A215" t="str">
            <v>92</v>
          </cell>
        </row>
        <row r="216">
          <cell r="A216" t="str">
            <v>253</v>
          </cell>
        </row>
        <row r="217">
          <cell r="A217" t="str">
            <v>218</v>
          </cell>
        </row>
        <row r="218">
          <cell r="A218" t="str">
            <v>530</v>
          </cell>
        </row>
        <row r="219">
          <cell r="A219" t="str">
            <v>537</v>
          </cell>
        </row>
        <row r="220">
          <cell r="A220" t="str">
            <v>540</v>
          </cell>
        </row>
        <row r="221">
          <cell r="A221" t="str">
            <v>543</v>
          </cell>
        </row>
        <row r="222">
          <cell r="A222" t="str">
            <v>527</v>
          </cell>
        </row>
        <row r="223">
          <cell r="A223" t="str">
            <v>526</v>
          </cell>
        </row>
        <row r="224">
          <cell r="A224" t="str">
            <v>523</v>
          </cell>
        </row>
        <row r="225">
          <cell r="A225" t="str">
            <v>445</v>
          </cell>
        </row>
        <row r="226">
          <cell r="A226" t="str">
            <v>551</v>
          </cell>
        </row>
        <row r="227">
          <cell r="A227" t="str">
            <v>104</v>
          </cell>
        </row>
        <row r="228">
          <cell r="A228" t="str">
            <v>439</v>
          </cell>
        </row>
        <row r="229">
          <cell r="A229" t="str">
            <v>461</v>
          </cell>
        </row>
        <row r="230">
          <cell r="A230" t="str">
            <v>172</v>
          </cell>
        </row>
        <row r="231">
          <cell r="A231" t="str">
            <v>A0075</v>
          </cell>
        </row>
        <row r="232">
          <cell r="A232" t="str">
            <v>77</v>
          </cell>
        </row>
        <row r="233">
          <cell r="A233" t="str">
            <v>A0004</v>
          </cell>
        </row>
        <row r="234">
          <cell r="A234" t="str">
            <v>42</v>
          </cell>
        </row>
        <row r="235">
          <cell r="A235" t="str">
            <v>A0005</v>
          </cell>
        </row>
        <row r="236">
          <cell r="A236" t="str">
            <v>55</v>
          </cell>
        </row>
        <row r="237">
          <cell r="A237" t="str">
            <v>A0105</v>
          </cell>
        </row>
        <row r="238">
          <cell r="A238" t="str">
            <v>339</v>
          </cell>
        </row>
        <row r="239">
          <cell r="A239" t="str">
            <v>A0087</v>
          </cell>
        </row>
        <row r="240">
          <cell r="A240" t="str">
            <v>333</v>
          </cell>
        </row>
        <row r="241">
          <cell r="A241" t="str">
            <v>A0030</v>
          </cell>
        </row>
        <row r="242">
          <cell r="A242" t="str">
            <v>9</v>
          </cell>
        </row>
        <row r="243">
          <cell r="A243" t="str">
            <v>219</v>
          </cell>
        </row>
        <row r="244">
          <cell r="A244" t="str">
            <v>A0006</v>
          </cell>
        </row>
        <row r="245">
          <cell r="A245" t="str">
            <v>44</v>
          </cell>
        </row>
        <row r="246">
          <cell r="A246" t="str">
            <v>45</v>
          </cell>
        </row>
        <row r="247">
          <cell r="A247" t="str">
            <v>214</v>
          </cell>
        </row>
        <row r="248">
          <cell r="A248" t="str">
            <v>215</v>
          </cell>
        </row>
        <row r="249">
          <cell r="A249" t="str">
            <v>505</v>
          </cell>
        </row>
        <row r="250">
          <cell r="A250" t="str">
            <v>506</v>
          </cell>
        </row>
        <row r="251">
          <cell r="A251" t="str">
            <v>A0051</v>
          </cell>
        </row>
        <row r="252">
          <cell r="A252" t="str">
            <v>351</v>
          </cell>
        </row>
        <row r="253">
          <cell r="A253" t="str">
            <v>A0052</v>
          </cell>
        </row>
        <row r="254">
          <cell r="A254" t="str">
            <v>520</v>
          </cell>
        </row>
        <row r="255">
          <cell r="A255" t="str">
            <v>A0078</v>
          </cell>
        </row>
        <row r="256">
          <cell r="A256" t="str">
            <v>43</v>
          </cell>
        </row>
        <row r="257">
          <cell r="A257" t="str">
            <v>A0088</v>
          </cell>
        </row>
        <row r="258">
          <cell r="A258" t="str">
            <v>10</v>
          </cell>
        </row>
        <row r="259">
          <cell r="A259" t="str">
            <v>A0077</v>
          </cell>
        </row>
        <row r="260">
          <cell r="A260" t="str">
            <v>A0097</v>
          </cell>
        </row>
        <row r="261">
          <cell r="A261" t="str">
            <v>33</v>
          </cell>
        </row>
        <row r="262">
          <cell r="A262" t="str">
            <v>A0053</v>
          </cell>
        </row>
        <row r="263">
          <cell r="A263" t="str">
            <v>105</v>
          </cell>
        </row>
        <row r="264">
          <cell r="A264" t="str">
            <v>385</v>
          </cell>
        </row>
        <row r="265">
          <cell r="A265" t="str">
            <v>A0007</v>
          </cell>
        </row>
        <row r="266">
          <cell r="A266" t="str">
            <v>426</v>
          </cell>
        </row>
        <row r="267">
          <cell r="A267" t="str">
            <v>A0008</v>
          </cell>
        </row>
        <row r="268">
          <cell r="A268" t="str">
            <v>40</v>
          </cell>
        </row>
        <row r="269">
          <cell r="A269" t="str">
            <v>356</v>
          </cell>
        </row>
        <row r="270">
          <cell r="A270" t="str">
            <v>A0009</v>
          </cell>
        </row>
        <row r="271">
          <cell r="A271" t="str">
            <v>96</v>
          </cell>
        </row>
        <row r="272">
          <cell r="A272" t="str">
            <v>A0055</v>
          </cell>
        </row>
        <row r="273">
          <cell r="A273" t="str">
            <v>296</v>
          </cell>
        </row>
        <row r="274">
          <cell r="A274" t="str">
            <v>A0056</v>
          </cell>
        </row>
        <row r="275">
          <cell r="A275" t="str">
            <v>322</v>
          </cell>
        </row>
        <row r="276">
          <cell r="A276" t="str">
            <v>A0054</v>
          </cell>
        </row>
        <row r="277">
          <cell r="A277" t="str">
            <v>413</v>
          </cell>
        </row>
        <row r="278">
          <cell r="A278" t="str">
            <v>A0044</v>
          </cell>
        </row>
        <row r="279">
          <cell r="A279" t="str">
            <v>22</v>
          </cell>
        </row>
        <row r="280">
          <cell r="A280" t="str">
            <v>A0058</v>
          </cell>
        </row>
        <row r="281">
          <cell r="A281" t="str">
            <v>154</v>
          </cell>
        </row>
        <row r="282">
          <cell r="A282" t="str">
            <v>A0010</v>
          </cell>
        </row>
        <row r="283">
          <cell r="A283" t="str">
            <v>54</v>
          </cell>
        </row>
        <row r="284">
          <cell r="A284" t="str">
            <v>369</v>
          </cell>
        </row>
        <row r="285">
          <cell r="A285" t="str">
            <v>A0011</v>
          </cell>
        </row>
        <row r="286">
          <cell r="A286" t="str">
            <v>60</v>
          </cell>
        </row>
        <row r="287">
          <cell r="A287" t="str">
            <v>387</v>
          </cell>
        </row>
        <row r="288">
          <cell r="A288" t="str">
            <v>A0012</v>
          </cell>
        </row>
        <row r="289">
          <cell r="A289" t="str">
            <v>97</v>
          </cell>
        </row>
        <row r="290">
          <cell r="A290" t="str">
            <v>A0013</v>
          </cell>
        </row>
        <row r="291">
          <cell r="A291" t="str">
            <v>62</v>
          </cell>
        </row>
        <row r="292">
          <cell r="A292" t="str">
            <v>A0079</v>
          </cell>
        </row>
        <row r="293">
          <cell r="A293" t="str">
            <v>414</v>
          </cell>
        </row>
        <row r="294">
          <cell r="A294" t="str">
            <v>A0014</v>
          </cell>
        </row>
        <row r="295">
          <cell r="A295" t="str">
            <v>A0042</v>
          </cell>
        </row>
        <row r="296">
          <cell r="A296" t="str">
            <v>A0101</v>
          </cell>
        </row>
        <row r="297">
          <cell r="A297" t="str">
            <v>A0041</v>
          </cell>
        </row>
        <row r="298">
          <cell r="A298" t="str">
            <v>A0043</v>
          </cell>
        </row>
        <row r="299">
          <cell r="A299" t="str">
            <v>447</v>
          </cell>
        </row>
        <row r="300">
          <cell r="A300" t="str">
            <v>A0016</v>
          </cell>
        </row>
        <row r="301">
          <cell r="A301" t="str">
            <v>7</v>
          </cell>
        </row>
        <row r="302">
          <cell r="A302" t="str">
            <v>476</v>
          </cell>
        </row>
        <row r="303">
          <cell r="A303" t="str">
            <v>A0015</v>
          </cell>
        </row>
        <row r="304">
          <cell r="A304" t="str">
            <v>329</v>
          </cell>
        </row>
        <row r="305">
          <cell r="A305" t="str">
            <v>330</v>
          </cell>
        </row>
        <row r="306">
          <cell r="A306" t="str">
            <v>A0017</v>
          </cell>
        </row>
        <row r="307">
          <cell r="A307" t="str">
            <v>93</v>
          </cell>
        </row>
        <row r="308">
          <cell r="A308" t="str">
            <v>140</v>
          </cell>
        </row>
        <row r="309">
          <cell r="A309" t="str">
            <v>375</v>
          </cell>
        </row>
        <row r="310">
          <cell r="A310" t="str">
            <v>A0018</v>
          </cell>
        </row>
        <row r="311">
          <cell r="A311" t="str">
            <v>383</v>
          </cell>
        </row>
        <row r="312">
          <cell r="A312" t="str">
            <v>432</v>
          </cell>
        </row>
        <row r="313">
          <cell r="A313" t="str">
            <v>A0059</v>
          </cell>
        </row>
        <row r="314">
          <cell r="A314" t="str">
            <v>28</v>
          </cell>
        </row>
        <row r="315">
          <cell r="A315" t="str">
            <v>A0019</v>
          </cell>
        </row>
        <row r="316">
          <cell r="A316" t="str">
            <v>67</v>
          </cell>
        </row>
        <row r="317">
          <cell r="A317" t="str">
            <v>A0060</v>
          </cell>
        </row>
        <row r="318">
          <cell r="A318" t="str">
            <v>508</v>
          </cell>
        </row>
        <row r="319">
          <cell r="A319" t="str">
            <v>519</v>
          </cell>
        </row>
        <row r="320">
          <cell r="A320" t="str">
            <v>A0020</v>
          </cell>
        </row>
        <row r="321">
          <cell r="A321" t="str">
            <v>15</v>
          </cell>
        </row>
        <row r="322">
          <cell r="A322" t="str">
            <v>A0021</v>
          </cell>
        </row>
        <row r="323">
          <cell r="A323" t="str">
            <v>63</v>
          </cell>
        </row>
        <row r="324">
          <cell r="A324" t="str">
            <v>360</v>
          </cell>
        </row>
        <row r="325">
          <cell r="A325" t="str">
            <v>A0022</v>
          </cell>
        </row>
        <row r="326">
          <cell r="A326" t="str">
            <v>A0061</v>
          </cell>
        </row>
        <row r="327">
          <cell r="A327" t="str">
            <v>16</v>
          </cell>
        </row>
        <row r="328">
          <cell r="A328" t="str">
            <v>110</v>
          </cell>
        </row>
        <row r="329">
          <cell r="A329" t="str">
            <v>A0024</v>
          </cell>
        </row>
        <row r="330">
          <cell r="A330" t="str">
            <v>134</v>
          </cell>
        </row>
        <row r="331">
          <cell r="A331" t="str">
            <v>A0099</v>
          </cell>
        </row>
        <row r="332">
          <cell r="A332" t="str">
            <v>203</v>
          </cell>
        </row>
        <row r="333">
          <cell r="A333" t="str">
            <v>525</v>
          </cell>
        </row>
        <row r="334">
          <cell r="A334" t="str">
            <v>A0025</v>
          </cell>
        </row>
        <row r="335">
          <cell r="A335" t="str">
            <v>349</v>
          </cell>
        </row>
        <row r="336">
          <cell r="A336" t="str">
            <v>A0062</v>
          </cell>
        </row>
        <row r="337">
          <cell r="A337" t="str">
            <v>57</v>
          </cell>
        </row>
        <row r="338">
          <cell r="A338" t="str">
            <v>107</v>
          </cell>
        </row>
        <row r="339">
          <cell r="A339" t="str">
            <v>A0026</v>
          </cell>
        </row>
        <row r="340">
          <cell r="A340" t="str">
            <v>463</v>
          </cell>
        </row>
        <row r="341">
          <cell r="A341" t="str">
            <v>A0098</v>
          </cell>
        </row>
        <row r="342">
          <cell r="A342" t="str">
            <v>34</v>
          </cell>
        </row>
        <row r="343">
          <cell r="A343" t="str">
            <v>A0027</v>
          </cell>
        </row>
        <row r="344">
          <cell r="A344" t="str">
            <v>423</v>
          </cell>
        </row>
        <row r="345">
          <cell r="A345" t="str">
            <v>A0083</v>
          </cell>
        </row>
        <row r="346">
          <cell r="A346" t="str">
            <v>A0063</v>
          </cell>
        </row>
        <row r="347">
          <cell r="A347" t="str">
            <v>195</v>
          </cell>
        </row>
        <row r="348">
          <cell r="A348" t="str">
            <v>A0064</v>
          </cell>
        </row>
        <row r="349">
          <cell r="A349" t="str">
            <v>6</v>
          </cell>
        </row>
        <row r="350">
          <cell r="A350" t="str">
            <v>373</v>
          </cell>
        </row>
        <row r="351">
          <cell r="A351" t="str">
            <v>A0028</v>
          </cell>
        </row>
        <row r="352">
          <cell r="A352" t="str">
            <v>282</v>
          </cell>
        </row>
        <row r="353">
          <cell r="A353" t="str">
            <v>434</v>
          </cell>
        </row>
        <row r="354">
          <cell r="A354" t="str">
            <v>A0081</v>
          </cell>
        </row>
        <row r="355">
          <cell r="A355" t="str">
            <v>8</v>
          </cell>
        </row>
        <row r="356">
          <cell r="A356" t="str">
            <v>A0073</v>
          </cell>
        </row>
        <row r="357">
          <cell r="A357" t="str">
            <v>76</v>
          </cell>
        </row>
        <row r="358">
          <cell r="A358" t="str">
            <v>A0076</v>
          </cell>
        </row>
        <row r="359">
          <cell r="A359" t="str">
            <v>58</v>
          </cell>
        </row>
        <row r="360">
          <cell r="A360" t="str">
            <v>A0080</v>
          </cell>
        </row>
        <row r="361">
          <cell r="A361" t="str">
            <v>142</v>
          </cell>
        </row>
        <row r="362">
          <cell r="A362" t="str">
            <v>A0086</v>
          </cell>
        </row>
        <row r="363">
          <cell r="A363" t="str">
            <v>11</v>
          </cell>
        </row>
        <row r="364">
          <cell r="A364" t="str">
            <v>12</v>
          </cell>
        </row>
        <row r="365">
          <cell r="A365" t="str">
            <v>A0089</v>
          </cell>
        </row>
        <row r="366">
          <cell r="A366" t="str">
            <v>380</v>
          </cell>
        </row>
        <row r="367">
          <cell r="A367" t="str">
            <v>A0084</v>
          </cell>
        </row>
        <row r="368">
          <cell r="A368" t="str">
            <v>228</v>
          </cell>
        </row>
        <row r="369">
          <cell r="A369" t="str">
            <v>A0085</v>
          </cell>
        </row>
        <row r="370">
          <cell r="A370" t="str">
            <v>23</v>
          </cell>
        </row>
        <row r="371">
          <cell r="A371" t="str">
            <v>A0102</v>
          </cell>
        </row>
        <row r="372">
          <cell r="A372" t="str">
            <v>13</v>
          </cell>
        </row>
        <row r="373">
          <cell r="A373" t="str">
            <v>89</v>
          </cell>
        </row>
        <row r="374">
          <cell r="A374" t="str">
            <v>512</v>
          </cell>
        </row>
        <row r="375">
          <cell r="A375" t="str">
            <v>A0065</v>
          </cell>
        </row>
        <row r="376">
          <cell r="A376" t="str">
            <v>A0057</v>
          </cell>
        </row>
        <row r="377">
          <cell r="A377" t="str">
            <v>297</v>
          </cell>
        </row>
        <row r="378">
          <cell r="A378" t="str">
            <v>A0066</v>
          </cell>
        </row>
        <row r="379">
          <cell r="A379" t="str">
            <v>101</v>
          </cell>
        </row>
        <row r="380">
          <cell r="A380" t="str">
            <v>A0046</v>
          </cell>
        </row>
        <row r="381">
          <cell r="A381" t="str">
            <v>312</v>
          </cell>
        </row>
        <row r="382">
          <cell r="A382" t="str">
            <v>A0029</v>
          </cell>
        </row>
        <row r="383">
          <cell r="A383" t="str">
            <v>35</v>
          </cell>
        </row>
        <row r="384">
          <cell r="A384" t="str">
            <v>114</v>
          </cell>
        </row>
        <row r="385">
          <cell r="A385" t="str">
            <v>A0031</v>
          </cell>
        </row>
        <row r="386">
          <cell r="A386" t="str">
            <v>5</v>
          </cell>
        </row>
        <row r="387">
          <cell r="A387" t="str">
            <v>377</v>
          </cell>
        </row>
        <row r="388">
          <cell r="A388" t="str">
            <v>A0032</v>
          </cell>
        </row>
        <row r="389">
          <cell r="A389" t="str">
            <v>193</v>
          </cell>
        </row>
        <row r="390">
          <cell r="A390" t="str">
            <v>202</v>
          </cell>
        </row>
        <row r="391">
          <cell r="A391" t="str">
            <v>363</v>
          </cell>
        </row>
        <row r="392">
          <cell r="A392" t="str">
            <v>386</v>
          </cell>
        </row>
        <row r="393">
          <cell r="A393" t="str">
            <v>A0067</v>
          </cell>
        </row>
        <row r="394">
          <cell r="A394" t="str">
            <v>404</v>
          </cell>
        </row>
        <row r="395">
          <cell r="A395" t="str">
            <v>A0068</v>
          </cell>
        </row>
        <row r="396">
          <cell r="A396" t="str">
            <v>427</v>
          </cell>
        </row>
        <row r="397">
          <cell r="A397" t="str">
            <v>A0047</v>
          </cell>
        </row>
        <row r="398">
          <cell r="A398" t="str">
            <v>A0048</v>
          </cell>
        </row>
        <row r="399">
          <cell r="A399" t="str">
            <v>A0106</v>
          </cell>
        </row>
        <row r="400">
          <cell r="A400" t="str">
            <v>2</v>
          </cell>
        </row>
        <row r="401">
          <cell r="A401" t="str">
            <v>52</v>
          </cell>
        </row>
        <row r="402">
          <cell r="A402" t="str">
            <v>A0033</v>
          </cell>
        </row>
        <row r="403">
          <cell r="A403" t="str">
            <v>21</v>
          </cell>
        </row>
        <row r="404">
          <cell r="A404" t="str">
            <v>A0069</v>
          </cell>
        </row>
        <row r="405">
          <cell r="A405" t="str">
            <v>555</v>
          </cell>
        </row>
        <row r="406">
          <cell r="A406" t="str">
            <v>554</v>
          </cell>
        </row>
        <row r="407">
          <cell r="A407" t="str">
            <v>553</v>
          </cell>
        </row>
        <row r="408">
          <cell r="A408" t="str">
            <v>552</v>
          </cell>
        </row>
        <row r="409">
          <cell r="A409" t="str">
            <v>A0107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FD6E-8260-42BF-9449-A36CD1787AA4}">
  <sheetPr codeName="Hoja5"/>
  <dimension ref="A1:H428"/>
  <sheetViews>
    <sheetView tabSelected="1" workbookViewId="0">
      <pane ySplit="1" topLeftCell="A118" activePane="bottomLeft" state="frozen"/>
      <selection pane="bottomLeft"/>
    </sheetView>
  </sheetViews>
  <sheetFormatPr baseColWidth="10" defaultRowHeight="15" x14ac:dyDescent="0.25"/>
  <cols>
    <col min="1" max="1" width="39" bestFit="1" customWidth="1"/>
    <col min="4" max="4" width="39.28515625" bestFit="1" customWidth="1"/>
    <col min="7" max="7" width="39" bestFit="1" customWidth="1"/>
  </cols>
  <sheetData>
    <row r="1" spans="1:8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1282</v>
      </c>
      <c r="H1" s="1" t="s">
        <v>1287</v>
      </c>
    </row>
    <row r="2" spans="1:8" x14ac:dyDescent="0.25">
      <c r="A2" t="s">
        <v>696</v>
      </c>
      <c r="B2" s="4" t="s">
        <v>697</v>
      </c>
      <c r="C2" t="s">
        <v>698</v>
      </c>
      <c r="D2" t="s">
        <v>205</v>
      </c>
      <c r="E2" t="s">
        <v>206</v>
      </c>
      <c r="F2" t="s">
        <v>15</v>
      </c>
      <c r="G2" t="s">
        <v>696</v>
      </c>
      <c r="H2" t="str">
        <f>+VLOOKUP(B2,[1]Hoja1!$A:$A,1,0)</f>
        <v>A0010</v>
      </c>
    </row>
    <row r="3" spans="1:8" x14ac:dyDescent="0.25">
      <c r="A3" t="s">
        <v>204</v>
      </c>
      <c r="B3" s="4" t="s">
        <v>1130</v>
      </c>
      <c r="C3">
        <v>154</v>
      </c>
      <c r="D3" t="s">
        <v>205</v>
      </c>
      <c r="E3" t="s">
        <v>206</v>
      </c>
      <c r="F3" t="s">
        <v>15</v>
      </c>
      <c r="G3" t="s">
        <v>696</v>
      </c>
      <c r="H3" t="str">
        <f>+VLOOKUP(B3,[1]Hoja1!$A:$A,1,0)</f>
        <v>154</v>
      </c>
    </row>
    <row r="4" spans="1:8" x14ac:dyDescent="0.25">
      <c r="A4" t="s">
        <v>595</v>
      </c>
      <c r="B4" s="4" t="s">
        <v>1271</v>
      </c>
      <c r="C4">
        <v>526</v>
      </c>
      <c r="D4" t="s">
        <v>596</v>
      </c>
      <c r="E4" t="s">
        <v>597</v>
      </c>
      <c r="F4" t="s">
        <v>27</v>
      </c>
      <c r="G4" t="str">
        <f>A4</f>
        <v>TUTI MITAD DEL MUND</v>
      </c>
      <c r="H4" t="str">
        <f>+VLOOKUP(B4,[1]Hoja1!$A:$A,1,0)</f>
        <v>526</v>
      </c>
    </row>
    <row r="5" spans="1:8" x14ac:dyDescent="0.25">
      <c r="A5" t="s">
        <v>493</v>
      </c>
      <c r="B5" s="4" t="s">
        <v>1045</v>
      </c>
      <c r="C5">
        <v>451</v>
      </c>
      <c r="D5" t="s">
        <v>494</v>
      </c>
      <c r="E5" t="s">
        <v>495</v>
      </c>
      <c r="F5" t="s">
        <v>27</v>
      </c>
      <c r="G5" t="str">
        <f t="shared" ref="G5:G7" si="0">A5</f>
        <v>FARM. CRUZ AZUL POMASQUI</v>
      </c>
      <c r="H5" t="str">
        <f>+VLOOKUP(B5,[1]Hoja1!$A:$A,1,0)</f>
        <v>451</v>
      </c>
    </row>
    <row r="6" spans="1:8" x14ac:dyDescent="0.25">
      <c r="A6" t="s">
        <v>540</v>
      </c>
      <c r="B6" s="4" t="s">
        <v>1194</v>
      </c>
      <c r="C6">
        <v>487</v>
      </c>
      <c r="D6" t="s">
        <v>541</v>
      </c>
      <c r="E6" t="s">
        <v>457</v>
      </c>
      <c r="F6" t="s">
        <v>27</v>
      </c>
      <c r="G6" t="str">
        <f t="shared" si="0"/>
        <v>PRIMAX FERRARI</v>
      </c>
      <c r="H6" t="str">
        <f>+VLOOKUP(B6,[1]Hoja1!$A:$A,1,0)</f>
        <v>487</v>
      </c>
    </row>
    <row r="7" spans="1:8" x14ac:dyDescent="0.25">
      <c r="A7" t="s">
        <v>426</v>
      </c>
      <c r="B7" s="4" t="s">
        <v>1214</v>
      </c>
      <c r="C7">
        <v>406</v>
      </c>
      <c r="D7" t="s">
        <v>427</v>
      </c>
      <c r="E7" t="s">
        <v>428</v>
      </c>
      <c r="F7" t="s">
        <v>27</v>
      </c>
      <c r="G7" t="str">
        <f t="shared" si="0"/>
        <v>QUITO CALDERON</v>
      </c>
      <c r="H7" t="str">
        <f>+VLOOKUP(B7,[1]Hoja1!$A:$A,1,0)</f>
        <v>406</v>
      </c>
    </row>
    <row r="8" spans="1:8" x14ac:dyDescent="0.25">
      <c r="A8" t="s">
        <v>891</v>
      </c>
      <c r="B8" s="4" t="s">
        <v>892</v>
      </c>
      <c r="C8" t="s">
        <v>893</v>
      </c>
      <c r="D8" t="s">
        <v>585</v>
      </c>
      <c r="E8" t="s">
        <v>457</v>
      </c>
      <c r="F8" t="s">
        <v>27</v>
      </c>
      <c r="G8" t="s">
        <v>891</v>
      </c>
      <c r="H8" t="str">
        <f>+VLOOKUP(B8,[1]Hoja1!$A:$A,1,0)</f>
        <v>A0078</v>
      </c>
    </row>
    <row r="9" spans="1:8" x14ac:dyDescent="0.25">
      <c r="A9" t="s">
        <v>584</v>
      </c>
      <c r="B9" s="4" t="s">
        <v>1033</v>
      </c>
      <c r="C9">
        <v>520</v>
      </c>
      <c r="D9" t="s">
        <v>585</v>
      </c>
      <c r="E9" t="s">
        <v>457</v>
      </c>
      <c r="F9" t="s">
        <v>27</v>
      </c>
      <c r="G9" t="s">
        <v>891</v>
      </c>
      <c r="H9" t="str">
        <f>+VLOOKUP(B9,[1]Hoja1!$A:$A,1,0)</f>
        <v>520</v>
      </c>
    </row>
    <row r="10" spans="1:8" x14ac:dyDescent="0.25">
      <c r="A10" t="s">
        <v>455</v>
      </c>
      <c r="B10" s="4" t="s">
        <v>1192</v>
      </c>
      <c r="C10">
        <v>424</v>
      </c>
      <c r="D10" t="s">
        <v>456</v>
      </c>
      <c r="E10" t="s">
        <v>457</v>
      </c>
      <c r="F10" t="s">
        <v>27</v>
      </c>
      <c r="G10" t="str">
        <f>A10</f>
        <v>PRIMAX EL CONDADO</v>
      </c>
      <c r="H10" t="str">
        <f>+VLOOKUP(B10,[1]Hoja1!$A:$A,1,0)</f>
        <v>424</v>
      </c>
    </row>
    <row r="11" spans="1:8" x14ac:dyDescent="0.25">
      <c r="A11" t="s">
        <v>935</v>
      </c>
      <c r="B11" s="4" t="s">
        <v>936</v>
      </c>
      <c r="C11" t="s">
        <v>937</v>
      </c>
      <c r="D11" t="s">
        <v>938</v>
      </c>
      <c r="E11" t="s">
        <v>410</v>
      </c>
      <c r="F11" t="s">
        <v>27</v>
      </c>
      <c r="G11" t="s">
        <v>935</v>
      </c>
      <c r="H11" t="str">
        <f>+VLOOKUP(B11,[1]Hoja1!$A:$A,1,0)</f>
        <v>A0092</v>
      </c>
    </row>
    <row r="12" spans="1:8" x14ac:dyDescent="0.25">
      <c r="A12" t="s">
        <v>512</v>
      </c>
      <c r="B12" s="4" t="s">
        <v>992</v>
      </c>
      <c r="C12">
        <v>463</v>
      </c>
      <c r="D12" t="s">
        <v>513</v>
      </c>
      <c r="E12" t="s">
        <v>410</v>
      </c>
      <c r="F12" t="s">
        <v>27</v>
      </c>
      <c r="G12" t="s">
        <v>943</v>
      </c>
      <c r="H12" t="str">
        <f>+VLOOKUP(B12,[1]Hoja1!$A:$A,1,0)</f>
        <v>463</v>
      </c>
    </row>
    <row r="13" spans="1:8" x14ac:dyDescent="0.25">
      <c r="A13" t="s">
        <v>943</v>
      </c>
      <c r="B13" s="4" t="s">
        <v>944</v>
      </c>
      <c r="C13" t="s">
        <v>945</v>
      </c>
      <c r="D13" t="s">
        <v>513</v>
      </c>
      <c r="E13" t="s">
        <v>410</v>
      </c>
      <c r="F13" t="s">
        <v>27</v>
      </c>
      <c r="G13" t="s">
        <v>943</v>
      </c>
      <c r="H13" t="str">
        <f>+VLOOKUP(B13,[1]Hoja1!$A:$A,1,0)</f>
        <v>A0098</v>
      </c>
    </row>
    <row r="14" spans="1:8" x14ac:dyDescent="0.25">
      <c r="A14" t="s">
        <v>408</v>
      </c>
      <c r="B14" s="4" t="s">
        <v>976</v>
      </c>
      <c r="C14">
        <v>396</v>
      </c>
      <c r="D14" t="s">
        <v>409</v>
      </c>
      <c r="E14" t="s">
        <v>410</v>
      </c>
      <c r="F14" t="s">
        <v>27</v>
      </c>
      <c r="G14" t="str">
        <f t="shared" ref="G14:G17" si="1">A14</f>
        <v>ARCA QUITO CALDERON</v>
      </c>
      <c r="H14" t="str">
        <f>+VLOOKUP(B14,[1]Hoja1!$A:$A,1,0)</f>
        <v>396</v>
      </c>
    </row>
    <row r="15" spans="1:8" x14ac:dyDescent="0.25">
      <c r="A15" t="s">
        <v>565</v>
      </c>
      <c r="B15" s="4" t="s">
        <v>1251</v>
      </c>
      <c r="C15">
        <v>509</v>
      </c>
      <c r="D15" t="s">
        <v>566</v>
      </c>
      <c r="E15" t="s">
        <v>410</v>
      </c>
      <c r="F15" t="s">
        <v>27</v>
      </c>
      <c r="G15" t="str">
        <f t="shared" si="1"/>
        <v>TIA LLANO GRANDE</v>
      </c>
      <c r="H15" t="str">
        <f>+VLOOKUP(B15,[1]Hoja1!$A:$A,1,0)</f>
        <v>509</v>
      </c>
    </row>
    <row r="16" spans="1:8" x14ac:dyDescent="0.25">
      <c r="A16" t="s">
        <v>508</v>
      </c>
      <c r="B16" s="4" t="s">
        <v>1242</v>
      </c>
      <c r="C16">
        <v>460</v>
      </c>
      <c r="D16" t="s">
        <v>509</v>
      </c>
      <c r="E16" t="s">
        <v>457</v>
      </c>
      <c r="F16" t="s">
        <v>27</v>
      </c>
      <c r="G16" t="str">
        <f t="shared" si="1"/>
        <v>TIA COTOCOLLAO</v>
      </c>
      <c r="H16" t="str">
        <f>+VLOOKUP(B16,[1]Hoja1!$A:$A,1,0)</f>
        <v>460</v>
      </c>
    </row>
    <row r="17" spans="1:8" x14ac:dyDescent="0.25">
      <c r="A17" t="s">
        <v>238</v>
      </c>
      <c r="B17" s="4" t="s">
        <v>1086</v>
      </c>
      <c r="C17">
        <v>199</v>
      </c>
      <c r="D17" t="s">
        <v>239</v>
      </c>
      <c r="E17" t="s">
        <v>26</v>
      </c>
      <c r="F17" t="s">
        <v>27</v>
      </c>
      <c r="G17" t="str">
        <f t="shared" si="1"/>
        <v>LA LUZ QUITO</v>
      </c>
      <c r="H17" t="str">
        <f>+VLOOKUP(B17,[1]Hoja1!$A:$A,1,0)</f>
        <v>199</v>
      </c>
    </row>
    <row r="18" spans="1:8" x14ac:dyDescent="0.25">
      <c r="A18" t="s">
        <v>94</v>
      </c>
      <c r="B18" s="4" t="s">
        <v>1152</v>
      </c>
      <c r="C18">
        <v>58</v>
      </c>
      <c r="D18" t="s">
        <v>95</v>
      </c>
      <c r="E18" t="s">
        <v>26</v>
      </c>
      <c r="F18" t="s">
        <v>27</v>
      </c>
      <c r="G18" t="s">
        <v>897</v>
      </c>
      <c r="H18" t="str">
        <f>+VLOOKUP(B18,[1]Hoja1!$A:$A,1,0)</f>
        <v>58</v>
      </c>
    </row>
    <row r="19" spans="1:8" x14ac:dyDescent="0.25">
      <c r="A19" t="s">
        <v>897</v>
      </c>
      <c r="B19" s="4" t="s">
        <v>898</v>
      </c>
      <c r="C19" t="s">
        <v>899</v>
      </c>
      <c r="D19" t="s">
        <v>95</v>
      </c>
      <c r="E19" t="s">
        <v>26</v>
      </c>
      <c r="F19" t="s">
        <v>27</v>
      </c>
      <c r="G19" t="s">
        <v>897</v>
      </c>
      <c r="H19" t="str">
        <f>+VLOOKUP(B19,[1]Hoja1!$A:$A,1,0)</f>
        <v>A0080</v>
      </c>
    </row>
    <row r="20" spans="1:8" x14ac:dyDescent="0.25">
      <c r="A20" t="s">
        <v>415</v>
      </c>
      <c r="B20" s="4" t="s">
        <v>975</v>
      </c>
      <c r="C20">
        <v>399</v>
      </c>
      <c r="D20" t="s">
        <v>416</v>
      </c>
      <c r="E20" t="s">
        <v>26</v>
      </c>
      <c r="F20" t="s">
        <v>27</v>
      </c>
      <c r="G20" t="str">
        <f t="shared" ref="G20:G24" si="2">A20</f>
        <v>ARCA EL INCA</v>
      </c>
      <c r="H20" t="str">
        <f>+VLOOKUP(B20,[1]Hoja1!$A:$A,1,0)</f>
        <v>399</v>
      </c>
    </row>
    <row r="21" spans="1:8" x14ac:dyDescent="0.25">
      <c r="A21" t="s">
        <v>193</v>
      </c>
      <c r="B21" s="4" t="s">
        <v>968</v>
      </c>
      <c r="C21">
        <v>150</v>
      </c>
      <c r="D21" t="s">
        <v>194</v>
      </c>
      <c r="E21" t="s">
        <v>26</v>
      </c>
      <c r="F21" t="s">
        <v>27</v>
      </c>
      <c r="G21" t="str">
        <f t="shared" si="2"/>
        <v>ACERO COMERCIAL QUITO</v>
      </c>
      <c r="H21" t="str">
        <f>+VLOOKUP(B21,[1]Hoja1!$A:$A,1,0)</f>
        <v>150</v>
      </c>
    </row>
    <row r="22" spans="1:8" x14ac:dyDescent="0.25">
      <c r="A22" t="s">
        <v>322</v>
      </c>
      <c r="B22" s="4" t="s">
        <v>1204</v>
      </c>
      <c r="C22">
        <v>317</v>
      </c>
      <c r="D22" t="s">
        <v>323</v>
      </c>
      <c r="E22" t="s">
        <v>26</v>
      </c>
      <c r="F22" t="s">
        <v>27</v>
      </c>
      <c r="G22" t="str">
        <f t="shared" si="2"/>
        <v>PRIMAX RUBBEN</v>
      </c>
      <c r="H22" t="str">
        <f>+VLOOKUP(B22,[1]Hoja1!$A:$A,1,0)</f>
        <v>317</v>
      </c>
    </row>
    <row r="23" spans="1:8" x14ac:dyDescent="0.25">
      <c r="A23" t="s">
        <v>544</v>
      </c>
      <c r="B23" s="4" t="s">
        <v>1202</v>
      </c>
      <c r="C23">
        <v>490</v>
      </c>
      <c r="D23" t="s">
        <v>545</v>
      </c>
      <c r="E23" t="s">
        <v>546</v>
      </c>
      <c r="F23" t="s">
        <v>27</v>
      </c>
      <c r="G23" t="str">
        <f t="shared" si="2"/>
        <v>PRIMAX MONTESERRIN</v>
      </c>
      <c r="H23" t="str">
        <f>+VLOOKUP(B23,[1]Hoja1!$A:$A,1,0)</f>
        <v>490</v>
      </c>
    </row>
    <row r="24" spans="1:8" x14ac:dyDescent="0.25">
      <c r="A24" t="s">
        <v>557</v>
      </c>
      <c r="B24" s="4" t="s">
        <v>1216</v>
      </c>
      <c r="C24">
        <v>501</v>
      </c>
      <c r="D24" t="s">
        <v>558</v>
      </c>
      <c r="E24" t="s">
        <v>26</v>
      </c>
      <c r="F24" t="s">
        <v>27</v>
      </c>
      <c r="G24" t="str">
        <f t="shared" si="2"/>
        <v>RIOCENTRO 6 DE DICIEMBRE RECICLADOR</v>
      </c>
      <c r="H24" t="str">
        <f>+VLOOKUP(B24,[1]Hoja1!$A:$A,1,0)</f>
        <v>501</v>
      </c>
    </row>
    <row r="25" spans="1:8" x14ac:dyDescent="0.25">
      <c r="A25" t="s">
        <v>387</v>
      </c>
      <c r="B25" s="4" t="s">
        <v>986</v>
      </c>
      <c r="C25">
        <v>380</v>
      </c>
      <c r="D25" t="s">
        <v>388</v>
      </c>
      <c r="E25" t="s">
        <v>26</v>
      </c>
      <c r="F25" t="s">
        <v>27</v>
      </c>
      <c r="G25" t="s">
        <v>909</v>
      </c>
      <c r="H25" t="str">
        <f>+VLOOKUP(B25,[1]Hoja1!$A:$A,1,0)</f>
        <v>380</v>
      </c>
    </row>
    <row r="26" spans="1:8" x14ac:dyDescent="0.25">
      <c r="A26" t="s">
        <v>909</v>
      </c>
      <c r="B26" s="4" t="s">
        <v>910</v>
      </c>
      <c r="C26" t="s">
        <v>911</v>
      </c>
      <c r="D26" t="s">
        <v>388</v>
      </c>
      <c r="E26" t="s">
        <v>26</v>
      </c>
      <c r="F26" t="s">
        <v>27</v>
      </c>
      <c r="G26" t="s">
        <v>909</v>
      </c>
      <c r="H26" t="str">
        <f>+VLOOKUP(B26,[1]Hoja1!$A:$A,1,0)</f>
        <v>A0084</v>
      </c>
    </row>
    <row r="27" spans="1:8" x14ac:dyDescent="0.25">
      <c r="A27" t="s">
        <v>34</v>
      </c>
      <c r="B27" s="4" t="s">
        <v>1160</v>
      </c>
      <c r="C27">
        <v>11</v>
      </c>
      <c r="D27" t="s">
        <v>35</v>
      </c>
      <c r="E27" t="s">
        <v>26</v>
      </c>
      <c r="F27" t="s">
        <v>27</v>
      </c>
      <c r="G27" t="s">
        <v>924</v>
      </c>
      <c r="H27" t="str">
        <f>+VLOOKUP(B27,[1]Hoja1!$A:$A,1,0)</f>
        <v>11</v>
      </c>
    </row>
    <row r="28" spans="1:8" x14ac:dyDescent="0.25">
      <c r="A28" t="s">
        <v>36</v>
      </c>
      <c r="B28" s="4" t="s">
        <v>1161</v>
      </c>
      <c r="C28">
        <v>12</v>
      </c>
      <c r="D28" t="s">
        <v>35</v>
      </c>
      <c r="E28" t="s">
        <v>26</v>
      </c>
      <c r="F28" t="s">
        <v>27</v>
      </c>
      <c r="G28" t="s">
        <v>924</v>
      </c>
      <c r="H28" t="str">
        <f>+VLOOKUP(B28,[1]Hoja1!$A:$A,1,0)</f>
        <v>12</v>
      </c>
    </row>
    <row r="29" spans="1:8" x14ac:dyDescent="0.25">
      <c r="A29" t="s">
        <v>924</v>
      </c>
      <c r="B29" s="4" t="s">
        <v>925</v>
      </c>
      <c r="C29" t="s">
        <v>926</v>
      </c>
      <c r="D29" t="s">
        <v>35</v>
      </c>
      <c r="E29" t="s">
        <v>26</v>
      </c>
      <c r="F29" t="s">
        <v>27</v>
      </c>
      <c r="G29" t="s">
        <v>924</v>
      </c>
      <c r="H29" t="str">
        <f>+VLOOKUP(B29,[1]Hoja1!$A:$A,1,0)</f>
        <v>A0089</v>
      </c>
    </row>
    <row r="30" spans="1:8" x14ac:dyDescent="0.25">
      <c r="A30" t="s">
        <v>906</v>
      </c>
      <c r="B30" s="4" t="s">
        <v>907</v>
      </c>
      <c r="C30" t="s">
        <v>908</v>
      </c>
      <c r="D30" t="s">
        <v>454</v>
      </c>
      <c r="E30" t="s">
        <v>26</v>
      </c>
      <c r="F30" t="s">
        <v>27</v>
      </c>
      <c r="G30" t="s">
        <v>906</v>
      </c>
      <c r="H30" t="str">
        <f>+VLOOKUP(B30,[1]Hoja1!$A:$A,1,0)</f>
        <v>A0083</v>
      </c>
    </row>
    <row r="31" spans="1:8" x14ac:dyDescent="0.25">
      <c r="A31" t="s">
        <v>453</v>
      </c>
      <c r="B31" s="4" t="s">
        <v>1215</v>
      </c>
      <c r="C31">
        <v>423</v>
      </c>
      <c r="D31" t="s">
        <v>454</v>
      </c>
      <c r="E31" t="s">
        <v>26</v>
      </c>
      <c r="F31" t="s">
        <v>27</v>
      </c>
      <c r="G31" t="s">
        <v>906</v>
      </c>
      <c r="H31" t="str">
        <f>+VLOOKUP(B31,[1]Hoja1!$A:$A,1,0)</f>
        <v>423</v>
      </c>
    </row>
    <row r="32" spans="1:8" x14ac:dyDescent="0.25">
      <c r="A32" t="s">
        <v>175</v>
      </c>
      <c r="B32" s="4" t="s">
        <v>1047</v>
      </c>
      <c r="C32">
        <v>125</v>
      </c>
      <c r="D32" t="s">
        <v>176</v>
      </c>
      <c r="E32" t="s">
        <v>26</v>
      </c>
      <c r="F32" t="s">
        <v>27</v>
      </c>
      <c r="G32" t="str">
        <f t="shared" ref="G32:G33" si="3">A32</f>
        <v>FARM. PHARMACYS BATAN BAJO</v>
      </c>
      <c r="H32" t="str">
        <f>+VLOOKUP(B32,[1]Hoja1!$A:$A,1,0)</f>
        <v>125</v>
      </c>
    </row>
    <row r="33" spans="1:8" x14ac:dyDescent="0.25">
      <c r="A33" t="s">
        <v>117</v>
      </c>
      <c r="B33" s="4" t="s">
        <v>1189</v>
      </c>
      <c r="C33">
        <v>73</v>
      </c>
      <c r="D33" t="s">
        <v>118</v>
      </c>
      <c r="E33" t="s">
        <v>26</v>
      </c>
      <c r="F33" t="s">
        <v>27</v>
      </c>
      <c r="G33" t="str">
        <f t="shared" si="3"/>
        <v>PRIMAX COLON</v>
      </c>
      <c r="H33" t="str">
        <f>+VLOOKUP(B33,[1]Hoja1!$A:$A,1,0)</f>
        <v>73</v>
      </c>
    </row>
    <row r="34" spans="1:8" x14ac:dyDescent="0.25">
      <c r="A34" t="s">
        <v>152</v>
      </c>
      <c r="B34" s="4" t="s">
        <v>1278</v>
      </c>
      <c r="C34">
        <v>104</v>
      </c>
      <c r="D34" t="s">
        <v>153</v>
      </c>
      <c r="E34" t="s">
        <v>154</v>
      </c>
      <c r="F34" t="s">
        <v>27</v>
      </c>
      <c r="G34" t="s">
        <v>965</v>
      </c>
      <c r="H34" t="str">
        <f>+VLOOKUP(B34,[1]Hoja1!$A:$A,1,0)</f>
        <v>104</v>
      </c>
    </row>
    <row r="35" spans="1:8" x14ac:dyDescent="0.25">
      <c r="A35" t="s">
        <v>965</v>
      </c>
      <c r="B35" s="4" t="s">
        <v>966</v>
      </c>
      <c r="C35" t="s">
        <v>967</v>
      </c>
      <c r="D35" t="s">
        <v>153</v>
      </c>
      <c r="E35" t="s">
        <v>154</v>
      </c>
      <c r="F35" t="s">
        <v>27</v>
      </c>
      <c r="G35" t="s">
        <v>965</v>
      </c>
      <c r="H35" t="str">
        <f>+VLOOKUP(B35,[1]Hoja1!$A:$A,1,0)</f>
        <v>A0106</v>
      </c>
    </row>
    <row r="36" spans="1:8" x14ac:dyDescent="0.25">
      <c r="A36" t="s">
        <v>24</v>
      </c>
      <c r="B36" s="4" t="s">
        <v>1118</v>
      </c>
      <c r="C36">
        <v>8</v>
      </c>
      <c r="D36" t="s">
        <v>25</v>
      </c>
      <c r="E36" t="s">
        <v>26</v>
      </c>
      <c r="F36" t="s">
        <v>27</v>
      </c>
      <c r="G36" t="s">
        <v>876</v>
      </c>
      <c r="H36" t="str">
        <f>+VLOOKUP(B36,[1]Hoja1!$A:$A,1,0)</f>
        <v>8</v>
      </c>
    </row>
    <row r="37" spans="1:8" x14ac:dyDescent="0.25">
      <c r="A37" t="s">
        <v>876</v>
      </c>
      <c r="B37" s="4" t="s">
        <v>877</v>
      </c>
      <c r="C37" t="s">
        <v>878</v>
      </c>
      <c r="D37" t="s">
        <v>25</v>
      </c>
      <c r="E37" t="s">
        <v>26</v>
      </c>
      <c r="F37" t="s">
        <v>27</v>
      </c>
      <c r="G37" t="s">
        <v>876</v>
      </c>
      <c r="H37" t="str">
        <f>+VLOOKUP(B37,[1]Hoja1!$A:$A,1,0)</f>
        <v>A0073</v>
      </c>
    </row>
    <row r="38" spans="1:8" x14ac:dyDescent="0.25">
      <c r="A38" t="s">
        <v>286</v>
      </c>
      <c r="B38" s="4" t="s">
        <v>1190</v>
      </c>
      <c r="C38">
        <v>280</v>
      </c>
      <c r="D38" t="s">
        <v>287</v>
      </c>
      <c r="E38" t="s">
        <v>154</v>
      </c>
      <c r="F38" t="s">
        <v>27</v>
      </c>
      <c r="G38" t="str">
        <f>A38</f>
        <v>PRIMAX CUMBAYA AV. INTEROCE</v>
      </c>
      <c r="H38" t="str">
        <f>+VLOOKUP(B38,[1]Hoja1!$A:$A,1,0)</f>
        <v>280</v>
      </c>
    </row>
    <row r="39" spans="1:8" x14ac:dyDescent="0.25">
      <c r="A39" t="s">
        <v>918</v>
      </c>
      <c r="B39" s="4" t="s">
        <v>919</v>
      </c>
      <c r="C39" t="s">
        <v>920</v>
      </c>
      <c r="D39" t="s">
        <v>346</v>
      </c>
      <c r="E39" t="s">
        <v>154</v>
      </c>
      <c r="F39" t="s">
        <v>27</v>
      </c>
      <c r="G39" t="s">
        <v>918</v>
      </c>
      <c r="H39" t="str">
        <f>+VLOOKUP(B39,[1]Hoja1!$A:$A,1,0)</f>
        <v>A0087</v>
      </c>
    </row>
    <row r="40" spans="1:8" x14ac:dyDescent="0.25">
      <c r="A40" t="s">
        <v>345</v>
      </c>
      <c r="B40" s="4" t="s">
        <v>1026</v>
      </c>
      <c r="C40">
        <v>339</v>
      </c>
      <c r="D40" t="s">
        <v>346</v>
      </c>
      <c r="E40" t="s">
        <v>154</v>
      </c>
      <c r="F40" t="s">
        <v>27</v>
      </c>
      <c r="G40" t="s">
        <v>918</v>
      </c>
      <c r="H40" t="str">
        <f>+VLOOKUP(B40,[1]Hoja1!$A:$A,1,0)</f>
        <v>339</v>
      </c>
    </row>
    <row r="41" spans="1:8" x14ac:dyDescent="0.25">
      <c r="A41" t="s">
        <v>903</v>
      </c>
      <c r="B41" s="4" t="s">
        <v>904</v>
      </c>
      <c r="C41" t="s">
        <v>905</v>
      </c>
      <c r="D41" t="s">
        <v>363</v>
      </c>
      <c r="E41" t="s">
        <v>26</v>
      </c>
      <c r="F41" t="s">
        <v>27</v>
      </c>
      <c r="G41" t="s">
        <v>903</v>
      </c>
      <c r="H41" t="str">
        <f>+VLOOKUP(B41,[1]Hoja1!$A:$A,1,0)</f>
        <v>A0082</v>
      </c>
    </row>
    <row r="42" spans="1:8" x14ac:dyDescent="0.25">
      <c r="A42" t="s">
        <v>362</v>
      </c>
      <c r="B42" s="4" t="s">
        <v>1111</v>
      </c>
      <c r="C42">
        <v>353</v>
      </c>
      <c r="D42" t="s">
        <v>363</v>
      </c>
      <c r="E42" t="s">
        <v>26</v>
      </c>
      <c r="F42" t="s">
        <v>27</v>
      </c>
      <c r="G42" t="s">
        <v>903</v>
      </c>
      <c r="H42" t="str">
        <f>+VLOOKUP(B42,[1]Hoja1!$A:$A,1,0)</f>
        <v>353</v>
      </c>
    </row>
    <row r="43" spans="1:8" x14ac:dyDescent="0.25">
      <c r="A43" t="s">
        <v>303</v>
      </c>
      <c r="B43" s="4" t="s">
        <v>1099</v>
      </c>
      <c r="C43">
        <v>295</v>
      </c>
      <c r="D43" t="s">
        <v>304</v>
      </c>
      <c r="E43" t="s">
        <v>26</v>
      </c>
      <c r="F43" t="s">
        <v>27</v>
      </c>
      <c r="G43" t="str">
        <f t="shared" ref="G43:G45" si="4">A43</f>
        <v>MERCADO ARTESANAL, CALLE RE</v>
      </c>
      <c r="H43" t="str">
        <f>+VLOOKUP(B43,[1]Hoja1!$A:$A,1,0)</f>
        <v>295</v>
      </c>
    </row>
    <row r="44" spans="1:8" x14ac:dyDescent="0.25">
      <c r="A44" t="s">
        <v>611</v>
      </c>
      <c r="B44" s="4" t="s">
        <v>1098</v>
      </c>
      <c r="C44">
        <v>533</v>
      </c>
      <c r="D44" t="s">
        <v>612</v>
      </c>
      <c r="E44" t="s">
        <v>26</v>
      </c>
      <c r="F44" t="s">
        <v>27</v>
      </c>
      <c r="G44" t="str">
        <f t="shared" si="4"/>
        <v>MERCADO ARTESANAL 2</v>
      </c>
      <c r="H44" t="str">
        <f>+VLOOKUP(B44,[1]Hoja1!$A:$A,1,0)</f>
        <v>533</v>
      </c>
    </row>
    <row r="45" spans="1:8" x14ac:dyDescent="0.25">
      <c r="A45" t="s">
        <v>399</v>
      </c>
      <c r="B45" s="4" t="s">
        <v>1167</v>
      </c>
      <c r="C45">
        <v>391</v>
      </c>
      <c r="D45" t="s">
        <v>400</v>
      </c>
      <c r="E45" t="s">
        <v>14</v>
      </c>
      <c r="F45" t="s">
        <v>15</v>
      </c>
      <c r="G45" t="str">
        <f t="shared" si="4"/>
        <v>PASEO SHOPPING STO. DOMINGO</v>
      </c>
      <c r="H45" t="str">
        <f>+VLOOKUP(B45,[1]Hoja1!$A:$A,1,0)</f>
        <v>391</v>
      </c>
    </row>
    <row r="46" spans="1:8" x14ac:dyDescent="0.25">
      <c r="A46" t="s">
        <v>384</v>
      </c>
      <c r="B46" s="4" t="s">
        <v>1110</v>
      </c>
      <c r="C46">
        <v>377</v>
      </c>
      <c r="D46" t="s">
        <v>13</v>
      </c>
      <c r="E46" t="s">
        <v>14</v>
      </c>
      <c r="F46" t="s">
        <v>15</v>
      </c>
      <c r="G46" t="s">
        <v>760</v>
      </c>
      <c r="H46" t="str">
        <f>+VLOOKUP(B46,[1]Hoja1!$A:$A,1,0)</f>
        <v>377</v>
      </c>
    </row>
    <row r="47" spans="1:8" x14ac:dyDescent="0.25">
      <c r="A47" t="s">
        <v>12</v>
      </c>
      <c r="B47" s="4" t="s">
        <v>1158</v>
      </c>
      <c r="C47">
        <v>5</v>
      </c>
      <c r="D47" t="s">
        <v>13</v>
      </c>
      <c r="E47" t="s">
        <v>14</v>
      </c>
      <c r="F47" t="s">
        <v>15</v>
      </c>
      <c r="G47" t="s">
        <v>760</v>
      </c>
      <c r="H47" t="str">
        <f>+VLOOKUP(B47,[1]Hoja1!$A:$A,1,0)</f>
        <v>5</v>
      </c>
    </row>
    <row r="48" spans="1:8" x14ac:dyDescent="0.25">
      <c r="A48" t="s">
        <v>760</v>
      </c>
      <c r="B48" s="4" t="s">
        <v>761</v>
      </c>
      <c r="C48" t="s">
        <v>762</v>
      </c>
      <c r="D48" t="s">
        <v>13</v>
      </c>
      <c r="E48" t="s">
        <v>14</v>
      </c>
      <c r="F48" t="s">
        <v>15</v>
      </c>
      <c r="G48" t="s">
        <v>760</v>
      </c>
      <c r="H48" t="str">
        <f>+VLOOKUP(B48,[1]Hoja1!$A:$A,1,0)</f>
        <v>A0032</v>
      </c>
    </row>
    <row r="49" spans="1:8" x14ac:dyDescent="0.25">
      <c r="A49" t="s">
        <v>119</v>
      </c>
      <c r="B49" s="4" t="s">
        <v>996</v>
      </c>
      <c r="C49">
        <v>76</v>
      </c>
      <c r="D49" t="s">
        <v>120</v>
      </c>
      <c r="E49" t="s">
        <v>26</v>
      </c>
      <c r="F49" t="s">
        <v>27</v>
      </c>
      <c r="G49" t="s">
        <v>885</v>
      </c>
      <c r="H49" t="str">
        <f>+VLOOKUP(B49,[1]Hoja1!$A:$A,1,0)</f>
        <v>76</v>
      </c>
    </row>
    <row r="50" spans="1:8" x14ac:dyDescent="0.25">
      <c r="A50" t="s">
        <v>885</v>
      </c>
      <c r="B50" s="4" t="s">
        <v>886</v>
      </c>
      <c r="C50" t="s">
        <v>887</v>
      </c>
      <c r="D50" t="s">
        <v>120</v>
      </c>
      <c r="E50" t="s">
        <v>26</v>
      </c>
      <c r="F50" t="s">
        <v>27</v>
      </c>
      <c r="G50" t="s">
        <v>885</v>
      </c>
      <c r="H50" t="str">
        <f>+VLOOKUP(B50,[1]Hoja1!$A:$A,1,0)</f>
        <v>A0076</v>
      </c>
    </row>
    <row r="51" spans="1:8" x14ac:dyDescent="0.25">
      <c r="A51" t="s">
        <v>781</v>
      </c>
      <c r="B51" s="4" t="s">
        <v>782</v>
      </c>
      <c r="C51" t="s">
        <v>783</v>
      </c>
      <c r="D51" t="s">
        <v>784</v>
      </c>
      <c r="E51" t="s">
        <v>14</v>
      </c>
      <c r="F51" t="s">
        <v>15</v>
      </c>
      <c r="G51" t="s">
        <v>781</v>
      </c>
      <c r="H51" t="str">
        <f>+VLOOKUP(B51,[1]Hoja1!$A:$A,1,0)</f>
        <v>A0039</v>
      </c>
    </row>
    <row r="52" spans="1:8" x14ac:dyDescent="0.25">
      <c r="A52" t="s">
        <v>411</v>
      </c>
      <c r="B52" s="4" t="s">
        <v>981</v>
      </c>
      <c r="C52">
        <v>397</v>
      </c>
      <c r="D52" t="s">
        <v>412</v>
      </c>
      <c r="E52" t="s">
        <v>14</v>
      </c>
      <c r="F52" t="s">
        <v>15</v>
      </c>
      <c r="G52" t="s">
        <v>781</v>
      </c>
      <c r="H52" t="str">
        <f>+VLOOKUP(B52,[1]Hoja1!$A:$A,1,0)</f>
        <v>397</v>
      </c>
    </row>
    <row r="53" spans="1:8" x14ac:dyDescent="0.25">
      <c r="A53" t="s">
        <v>274</v>
      </c>
      <c r="B53" s="4" t="s">
        <v>1264</v>
      </c>
      <c r="C53">
        <v>253</v>
      </c>
      <c r="D53" t="s">
        <v>275</v>
      </c>
      <c r="E53" t="s">
        <v>26</v>
      </c>
      <c r="F53" t="s">
        <v>27</v>
      </c>
      <c r="G53" t="str">
        <f t="shared" ref="G53:G54" si="5">A53</f>
        <v>TIA TOACAZO</v>
      </c>
      <c r="H53" t="str">
        <f>+VLOOKUP(B53,[1]Hoja1!$A:$A,1,0)</f>
        <v>253</v>
      </c>
    </row>
    <row r="54" spans="1:8" x14ac:dyDescent="0.25">
      <c r="A54" t="s">
        <v>139</v>
      </c>
      <c r="B54" s="4" t="s">
        <v>1263</v>
      </c>
      <c r="C54">
        <v>92</v>
      </c>
      <c r="D54" t="s">
        <v>140</v>
      </c>
      <c r="E54" t="s">
        <v>26</v>
      </c>
      <c r="F54" t="s">
        <v>27</v>
      </c>
      <c r="G54" t="str">
        <f t="shared" si="5"/>
        <v>TIA SOLANDA</v>
      </c>
      <c r="H54" t="str">
        <f>+VLOOKUP(B54,[1]Hoja1!$A:$A,1,0)</f>
        <v>92</v>
      </c>
    </row>
    <row r="55" spans="1:8" x14ac:dyDescent="0.25">
      <c r="A55" t="s">
        <v>687</v>
      </c>
      <c r="B55" s="4" t="s">
        <v>688</v>
      </c>
      <c r="C55" t="s">
        <v>689</v>
      </c>
      <c r="D55" t="s">
        <v>156</v>
      </c>
      <c r="E55" t="s">
        <v>157</v>
      </c>
      <c r="F55" t="s">
        <v>57</v>
      </c>
      <c r="G55" t="s">
        <v>687</v>
      </c>
      <c r="H55" t="str">
        <f>+VLOOKUP(B55,[1]Hoja1!$A:$A,1,0)</f>
        <v>A0007</v>
      </c>
    </row>
    <row r="56" spans="1:8" x14ac:dyDescent="0.25">
      <c r="A56" t="s">
        <v>155</v>
      </c>
      <c r="B56" s="4" t="s">
        <v>1127</v>
      </c>
      <c r="C56">
        <v>105</v>
      </c>
      <c r="D56" t="s">
        <v>156</v>
      </c>
      <c r="E56" t="s">
        <v>157</v>
      </c>
      <c r="F56" t="s">
        <v>57</v>
      </c>
      <c r="G56" t="s">
        <v>687</v>
      </c>
      <c r="H56" t="str">
        <f>+VLOOKUP(B56,[1]Hoja1!$A:$A,1,0)</f>
        <v>105</v>
      </c>
    </row>
    <row r="57" spans="1:8" x14ac:dyDescent="0.25">
      <c r="A57" t="s">
        <v>391</v>
      </c>
      <c r="B57" s="4" t="s">
        <v>1128</v>
      </c>
      <c r="C57">
        <v>385</v>
      </c>
      <c r="D57" t="s">
        <v>156</v>
      </c>
      <c r="E57" t="s">
        <v>157</v>
      </c>
      <c r="F57" t="s">
        <v>57</v>
      </c>
      <c r="G57" t="s">
        <v>687</v>
      </c>
      <c r="H57" t="str">
        <f>+VLOOKUP(B57,[1]Hoja1!$A:$A,1,0)</f>
        <v>385</v>
      </c>
    </row>
    <row r="58" spans="1:8" x14ac:dyDescent="0.25">
      <c r="A58" t="s">
        <v>368</v>
      </c>
      <c r="B58" s="4" t="s">
        <v>1205</v>
      </c>
      <c r="C58">
        <v>361</v>
      </c>
      <c r="D58" t="s">
        <v>369</v>
      </c>
      <c r="E58" t="s">
        <v>26</v>
      </c>
      <c r="F58" t="s">
        <v>27</v>
      </c>
      <c r="G58" t="str">
        <f>A58</f>
        <v>PRIMAX VISION 2000</v>
      </c>
      <c r="H58" t="str">
        <f>+VLOOKUP(B58,[1]Hoja1!$A:$A,1,0)</f>
        <v>361</v>
      </c>
    </row>
    <row r="59" spans="1:8" x14ac:dyDescent="0.25">
      <c r="A59" t="s">
        <v>949</v>
      </c>
      <c r="B59" s="4" t="s">
        <v>950</v>
      </c>
      <c r="C59" t="s">
        <v>951</v>
      </c>
      <c r="D59" t="s">
        <v>952</v>
      </c>
      <c r="E59" t="s">
        <v>953</v>
      </c>
      <c r="F59" t="s">
        <v>954</v>
      </c>
      <c r="G59" t="s">
        <v>949</v>
      </c>
      <c r="H59" t="str">
        <f>+VLOOKUP(B59,[1]Hoja1!$A:$A,1,0)</f>
        <v>A0100</v>
      </c>
    </row>
    <row r="60" spans="1:8" x14ac:dyDescent="0.25">
      <c r="A60" t="s">
        <v>467</v>
      </c>
      <c r="B60" s="4" t="s">
        <v>1212</v>
      </c>
      <c r="C60">
        <v>434</v>
      </c>
      <c r="D60" t="s">
        <v>289</v>
      </c>
      <c r="E60" t="s">
        <v>26</v>
      </c>
      <c r="F60" t="s">
        <v>27</v>
      </c>
      <c r="G60" t="s">
        <v>900</v>
      </c>
      <c r="H60" t="str">
        <f>+VLOOKUP(B60,[1]Hoja1!$A:$A,1,0)</f>
        <v>434</v>
      </c>
    </row>
    <row r="61" spans="1:8" x14ac:dyDescent="0.25">
      <c r="A61" t="s">
        <v>900</v>
      </c>
      <c r="B61" s="4" t="s">
        <v>901</v>
      </c>
      <c r="C61" t="s">
        <v>902</v>
      </c>
      <c r="D61" t="s">
        <v>289</v>
      </c>
      <c r="E61" t="s">
        <v>26</v>
      </c>
      <c r="F61" t="s">
        <v>27</v>
      </c>
      <c r="G61" t="s">
        <v>900</v>
      </c>
      <c r="H61" t="str">
        <f>+VLOOKUP(B61,[1]Hoja1!$A:$A,1,0)</f>
        <v>A0081</v>
      </c>
    </row>
    <row r="62" spans="1:8" x14ac:dyDescent="0.25">
      <c r="A62" t="s">
        <v>288</v>
      </c>
      <c r="B62" s="4" t="s">
        <v>1213</v>
      </c>
      <c r="C62">
        <v>282</v>
      </c>
      <c r="D62" t="s">
        <v>289</v>
      </c>
      <c r="E62" t="s">
        <v>26</v>
      </c>
      <c r="F62" t="s">
        <v>27</v>
      </c>
      <c r="G62" t="s">
        <v>900</v>
      </c>
      <c r="H62" t="str">
        <f>+VLOOKUP(B62,[1]Hoja1!$A:$A,1,0)</f>
        <v>282</v>
      </c>
    </row>
    <row r="63" spans="1:8" x14ac:dyDescent="0.25">
      <c r="A63" t="s">
        <v>518</v>
      </c>
      <c r="B63" s="4" t="s">
        <v>1196</v>
      </c>
      <c r="C63">
        <v>468</v>
      </c>
      <c r="D63" t="s">
        <v>519</v>
      </c>
      <c r="E63" t="s">
        <v>26</v>
      </c>
      <c r="F63" t="s">
        <v>27</v>
      </c>
      <c r="G63" t="str">
        <f t="shared" ref="G63:G64" si="6">A63</f>
        <v>PRIMAX GUAJALO</v>
      </c>
      <c r="H63" t="str">
        <f>+VLOOKUP(B63,[1]Hoja1!$A:$A,1,0)</f>
        <v>468</v>
      </c>
    </row>
    <row r="64" spans="1:8" x14ac:dyDescent="0.25">
      <c r="A64" t="s">
        <v>260</v>
      </c>
      <c r="B64" s="4" t="s">
        <v>1241</v>
      </c>
      <c r="C64">
        <v>238</v>
      </c>
      <c r="D64" t="s">
        <v>261</v>
      </c>
      <c r="E64" t="s">
        <v>262</v>
      </c>
      <c r="F64" t="s">
        <v>27</v>
      </c>
      <c r="G64" t="str">
        <f t="shared" si="6"/>
        <v>TIA CONOCOTO</v>
      </c>
      <c r="H64" t="str">
        <f>+VLOOKUP(B64,[1]Hoja1!$A:$A,1,0)</f>
        <v>238</v>
      </c>
    </row>
    <row r="65" spans="1:8" x14ac:dyDescent="0.25">
      <c r="A65" t="s">
        <v>652</v>
      </c>
      <c r="B65" s="4" t="s">
        <v>1273</v>
      </c>
      <c r="C65">
        <v>555</v>
      </c>
      <c r="D65" s="2" t="s">
        <v>653</v>
      </c>
      <c r="E65" t="s">
        <v>26</v>
      </c>
      <c r="F65" t="s">
        <v>27</v>
      </c>
      <c r="G65" t="s">
        <v>652</v>
      </c>
      <c r="H65" t="str">
        <f>+VLOOKUP(B65,[1]Hoja1!$A:$A,1,0)</f>
        <v>555</v>
      </c>
    </row>
    <row r="66" spans="1:8" x14ac:dyDescent="0.25">
      <c r="A66" t="s">
        <v>931</v>
      </c>
      <c r="B66" s="4" t="s">
        <v>932</v>
      </c>
      <c r="C66" t="s">
        <v>933</v>
      </c>
      <c r="D66" t="s">
        <v>934</v>
      </c>
      <c r="E66" t="s">
        <v>26</v>
      </c>
      <c r="F66" t="s">
        <v>27</v>
      </c>
      <c r="G66" t="s">
        <v>931</v>
      </c>
      <c r="H66" t="str">
        <f>+VLOOKUP(B66,[1]Hoja1!$A:$A,1,0)</f>
        <v>A0091</v>
      </c>
    </row>
    <row r="67" spans="1:8" x14ac:dyDescent="0.25">
      <c r="A67" t="s">
        <v>184</v>
      </c>
      <c r="B67" s="4" t="s">
        <v>1014</v>
      </c>
      <c r="C67">
        <v>142</v>
      </c>
      <c r="D67" t="s">
        <v>185</v>
      </c>
      <c r="E67" t="s">
        <v>186</v>
      </c>
      <c r="F67" t="s">
        <v>27</v>
      </c>
      <c r="G67" t="s">
        <v>915</v>
      </c>
      <c r="H67" t="str">
        <f>+VLOOKUP(B67,[1]Hoja1!$A:$A,1,0)</f>
        <v>142</v>
      </c>
    </row>
    <row r="68" spans="1:8" x14ac:dyDescent="0.25">
      <c r="A68" t="s">
        <v>915</v>
      </c>
      <c r="B68" s="4" t="s">
        <v>916</v>
      </c>
      <c r="C68" t="s">
        <v>917</v>
      </c>
      <c r="D68" t="s">
        <v>185</v>
      </c>
      <c r="E68" t="s">
        <v>186</v>
      </c>
      <c r="F68" t="s">
        <v>27</v>
      </c>
      <c r="G68" t="s">
        <v>915</v>
      </c>
      <c r="H68" t="str">
        <f>+VLOOKUP(B68,[1]Hoja1!$A:$A,1,0)</f>
        <v>A0086</v>
      </c>
    </row>
    <row r="69" spans="1:8" x14ac:dyDescent="0.25">
      <c r="A69" t="s">
        <v>472</v>
      </c>
      <c r="B69" s="4" t="s">
        <v>989</v>
      </c>
      <c r="C69">
        <v>437</v>
      </c>
      <c r="D69" t="s">
        <v>473</v>
      </c>
      <c r="E69" t="s">
        <v>26</v>
      </c>
      <c r="F69" t="s">
        <v>27</v>
      </c>
      <c r="G69" t="str">
        <f t="shared" ref="G69:G71" si="7">A69</f>
        <v>AV. LA ECUATORIANA</v>
      </c>
      <c r="H69" t="str">
        <f>+VLOOKUP(B69,[1]Hoja1!$A:$A,1,0)</f>
        <v>437</v>
      </c>
    </row>
    <row r="70" spans="1:8" x14ac:dyDescent="0.25">
      <c r="A70" t="s">
        <v>215</v>
      </c>
      <c r="B70" s="4" t="s">
        <v>1220</v>
      </c>
      <c r="C70">
        <v>164</v>
      </c>
      <c r="D70" t="s">
        <v>216</v>
      </c>
      <c r="E70" t="s">
        <v>186</v>
      </c>
      <c r="F70" t="s">
        <v>27</v>
      </c>
      <c r="G70" t="str">
        <f t="shared" si="7"/>
        <v>SANGOLQUI 2</v>
      </c>
      <c r="H70" t="str">
        <f>+VLOOKUP(B70,[1]Hoja1!$A:$A,1,0)</f>
        <v>164</v>
      </c>
    </row>
    <row r="71" spans="1:8" x14ac:dyDescent="0.25">
      <c r="A71" t="s">
        <v>592</v>
      </c>
      <c r="B71" s="4" t="s">
        <v>1261</v>
      </c>
      <c r="C71">
        <v>524</v>
      </c>
      <c r="D71" t="s">
        <v>593</v>
      </c>
      <c r="E71" t="s">
        <v>26</v>
      </c>
      <c r="F71" t="s">
        <v>27</v>
      </c>
      <c r="G71" t="str">
        <f t="shared" si="7"/>
        <v>TIA SANGOLQUI</v>
      </c>
      <c r="H71" t="str">
        <f>+VLOOKUP(B71,[1]Hoja1!$A:$A,1,0)</f>
        <v>524</v>
      </c>
    </row>
    <row r="72" spans="1:8" x14ac:dyDescent="0.25">
      <c r="A72" t="s">
        <v>939</v>
      </c>
      <c r="B72" s="4" t="s">
        <v>940</v>
      </c>
      <c r="C72" t="s">
        <v>941</v>
      </c>
      <c r="D72" t="s">
        <v>942</v>
      </c>
      <c r="E72" t="s">
        <v>186</v>
      </c>
      <c r="F72" t="s">
        <v>27</v>
      </c>
      <c r="G72" t="s">
        <v>939</v>
      </c>
      <c r="H72" t="str">
        <f>+VLOOKUP(B72,[1]Hoja1!$A:$A,1,0)</f>
        <v>A0097</v>
      </c>
    </row>
    <row r="73" spans="1:8" x14ac:dyDescent="0.25">
      <c r="A73" t="s">
        <v>200</v>
      </c>
      <c r="B73" s="4" t="s">
        <v>1226</v>
      </c>
      <c r="C73">
        <v>153</v>
      </c>
      <c r="D73" t="s">
        <v>201</v>
      </c>
      <c r="E73" t="s">
        <v>202</v>
      </c>
      <c r="F73" t="s">
        <v>203</v>
      </c>
      <c r="G73" t="str">
        <f>A73</f>
        <v>STA. CRUZ GALAPAGOS</v>
      </c>
      <c r="H73" t="str">
        <f>+VLOOKUP(B73,[1]Hoja1!$A:$A,1,0)</f>
        <v>153</v>
      </c>
    </row>
    <row r="74" spans="1:8" x14ac:dyDescent="0.25">
      <c r="A74" t="s">
        <v>681</v>
      </c>
      <c r="B74" s="4" t="s">
        <v>682</v>
      </c>
      <c r="C74" t="s">
        <v>683</v>
      </c>
      <c r="D74" t="s">
        <v>71</v>
      </c>
      <c r="E74" t="s">
        <v>72</v>
      </c>
      <c r="F74" t="s">
        <v>19</v>
      </c>
      <c r="G74" t="s">
        <v>681</v>
      </c>
      <c r="H74" t="str">
        <f>+VLOOKUP(B74,[1]Hoja1!$A:$A,1,0)</f>
        <v>A0005</v>
      </c>
    </row>
    <row r="75" spans="1:8" x14ac:dyDescent="0.25">
      <c r="A75" t="s">
        <v>70</v>
      </c>
      <c r="B75" s="4" t="s">
        <v>1122</v>
      </c>
      <c r="C75">
        <v>42</v>
      </c>
      <c r="D75" t="s">
        <v>71</v>
      </c>
      <c r="E75" t="s">
        <v>72</v>
      </c>
      <c r="F75" t="s">
        <v>19</v>
      </c>
      <c r="G75" t="s">
        <v>681</v>
      </c>
      <c r="H75" t="str">
        <f>+VLOOKUP(B75,[1]Hoja1!$A:$A,1,0)</f>
        <v>42</v>
      </c>
    </row>
    <row r="76" spans="1:8" x14ac:dyDescent="0.25">
      <c r="A76" t="s">
        <v>298</v>
      </c>
      <c r="B76" s="4" t="s">
        <v>1246</v>
      </c>
      <c r="C76">
        <v>293</v>
      </c>
      <c r="D76" t="s">
        <v>299</v>
      </c>
      <c r="E76" t="s">
        <v>300</v>
      </c>
      <c r="F76" t="s">
        <v>300</v>
      </c>
      <c r="G76" t="str">
        <f t="shared" ref="G76:G77" si="8">A76</f>
        <v>TIA ESMERALDAS, AV. JAIME H</v>
      </c>
      <c r="H76" t="str">
        <f>+VLOOKUP(B76,[1]Hoja1!$A:$A,1,0)</f>
        <v>293</v>
      </c>
    </row>
    <row r="77" spans="1:8" x14ac:dyDescent="0.25">
      <c r="A77" t="s">
        <v>435</v>
      </c>
      <c r="B77" s="4" t="s">
        <v>1250</v>
      </c>
      <c r="C77">
        <v>411</v>
      </c>
      <c r="D77" t="s">
        <v>436</v>
      </c>
      <c r="E77" t="s">
        <v>437</v>
      </c>
      <c r="F77" t="s">
        <v>438</v>
      </c>
      <c r="G77" t="str">
        <f t="shared" si="8"/>
        <v>TIA LA MANA</v>
      </c>
      <c r="H77" t="str">
        <f>+VLOOKUP(B77,[1]Hoja1!$A:$A,1,0)</f>
        <v>411</v>
      </c>
    </row>
    <row r="78" spans="1:8" x14ac:dyDescent="0.25">
      <c r="A78" t="s">
        <v>54</v>
      </c>
      <c r="B78" s="4" t="s">
        <v>1139</v>
      </c>
      <c r="C78">
        <v>28</v>
      </c>
      <c r="D78" t="s">
        <v>55</v>
      </c>
      <c r="E78" t="s">
        <v>56</v>
      </c>
      <c r="F78" t="s">
        <v>57</v>
      </c>
      <c r="G78" t="s">
        <v>723</v>
      </c>
      <c r="H78" t="str">
        <f>+VLOOKUP(B78,[1]Hoja1!$A:$A,1,0)</f>
        <v>28</v>
      </c>
    </row>
    <row r="79" spans="1:8" x14ac:dyDescent="0.25">
      <c r="A79" t="s">
        <v>723</v>
      </c>
      <c r="B79" s="4" t="s">
        <v>724</v>
      </c>
      <c r="C79" t="s">
        <v>725</v>
      </c>
      <c r="D79" t="s">
        <v>726</v>
      </c>
      <c r="E79" t="s">
        <v>56</v>
      </c>
      <c r="F79" t="s">
        <v>57</v>
      </c>
      <c r="G79" t="s">
        <v>723</v>
      </c>
      <c r="H79" t="str">
        <f>+VLOOKUP(B79,[1]Hoja1!$A:$A,1,0)</f>
        <v>A0019</v>
      </c>
    </row>
    <row r="80" spans="1:8" x14ac:dyDescent="0.25">
      <c r="A80" t="s">
        <v>313</v>
      </c>
      <c r="B80" s="4" t="s">
        <v>1095</v>
      </c>
      <c r="C80">
        <v>301</v>
      </c>
      <c r="D80" t="s">
        <v>314</v>
      </c>
      <c r="E80" t="s">
        <v>56</v>
      </c>
      <c r="F80" t="s">
        <v>57</v>
      </c>
      <c r="G80" t="str">
        <f>A80</f>
        <v>MANTA FLAVIO REYES Y CALLE</v>
      </c>
      <c r="H80" t="str">
        <f>+VLOOKUP(B80,[1]Hoja1!$A:$A,1,0)</f>
        <v>301</v>
      </c>
    </row>
    <row r="81" spans="1:8" x14ac:dyDescent="0.25">
      <c r="A81" t="s">
        <v>792</v>
      </c>
      <c r="B81" s="4" t="s">
        <v>793</v>
      </c>
      <c r="C81" t="s">
        <v>794</v>
      </c>
      <c r="D81" t="s">
        <v>795</v>
      </c>
      <c r="E81" t="s">
        <v>56</v>
      </c>
      <c r="F81" t="s">
        <v>57</v>
      </c>
      <c r="G81" t="s">
        <v>792</v>
      </c>
      <c r="H81" t="str">
        <f>+VLOOKUP(B81,[1]Hoja1!$A:$A,1,0)</f>
        <v>A0042</v>
      </c>
    </row>
    <row r="82" spans="1:8" x14ac:dyDescent="0.25">
      <c r="A82" t="s">
        <v>108</v>
      </c>
      <c r="B82" s="4" t="s">
        <v>1003</v>
      </c>
      <c r="C82">
        <v>64</v>
      </c>
      <c r="D82" t="s">
        <v>109</v>
      </c>
      <c r="E82" t="s">
        <v>56</v>
      </c>
      <c r="F82" t="s">
        <v>57</v>
      </c>
      <c r="G82" t="str">
        <f>A82</f>
        <v>C.C. PASEO MANTA</v>
      </c>
      <c r="H82" t="str">
        <f>+VLOOKUP(B82,[1]Hoja1!$A:$A,1,0)</f>
        <v>64</v>
      </c>
    </row>
    <row r="83" spans="1:8" x14ac:dyDescent="0.25">
      <c r="A83" t="s">
        <v>778</v>
      </c>
      <c r="B83" s="4" t="s">
        <v>779</v>
      </c>
      <c r="C83" t="s">
        <v>780</v>
      </c>
      <c r="D83" t="s">
        <v>452</v>
      </c>
      <c r="E83" t="s">
        <v>18</v>
      </c>
      <c r="F83" t="s">
        <v>19</v>
      </c>
      <c r="G83" t="s">
        <v>778</v>
      </c>
      <c r="H83" t="str">
        <f>+VLOOKUP(B83,[1]Hoja1!$A:$A,1,0)</f>
        <v>A0038</v>
      </c>
    </row>
    <row r="84" spans="1:8" x14ac:dyDescent="0.25">
      <c r="A84" t="s">
        <v>451</v>
      </c>
      <c r="B84" s="4" t="s">
        <v>980</v>
      </c>
      <c r="C84">
        <v>422</v>
      </c>
      <c r="D84" t="s">
        <v>452</v>
      </c>
      <c r="E84" t="s">
        <v>18</v>
      </c>
      <c r="F84" t="s">
        <v>19</v>
      </c>
      <c r="G84" t="s">
        <v>778</v>
      </c>
      <c r="H84" t="str">
        <f>+VLOOKUP(B84,[1]Hoja1!$A:$A,1,0)</f>
        <v>422</v>
      </c>
    </row>
    <row r="85" spans="1:8" x14ac:dyDescent="0.25">
      <c r="A85" t="s">
        <v>305</v>
      </c>
      <c r="B85" s="4" t="s">
        <v>1006</v>
      </c>
      <c r="C85">
        <v>296</v>
      </c>
      <c r="D85" t="s">
        <v>306</v>
      </c>
      <c r="E85" t="s">
        <v>18</v>
      </c>
      <c r="F85" t="s">
        <v>19</v>
      </c>
      <c r="G85" t="s">
        <v>833</v>
      </c>
      <c r="H85" t="str">
        <f>+VLOOKUP(B85,[1]Hoja1!$A:$A,1,0)</f>
        <v>296</v>
      </c>
    </row>
    <row r="86" spans="1:8" x14ac:dyDescent="0.25">
      <c r="A86" t="s">
        <v>833</v>
      </c>
      <c r="B86" s="4" t="s">
        <v>834</v>
      </c>
      <c r="C86" t="s">
        <v>835</v>
      </c>
      <c r="D86" t="s">
        <v>306</v>
      </c>
      <c r="E86" t="s">
        <v>18</v>
      </c>
      <c r="F86" t="s">
        <v>19</v>
      </c>
      <c r="G86" t="s">
        <v>833</v>
      </c>
      <c r="H86" t="str">
        <f>+VLOOKUP(B86,[1]Hoja1!$A:$A,1,0)</f>
        <v>A0056</v>
      </c>
    </row>
    <row r="87" spans="1:8" x14ac:dyDescent="0.25">
      <c r="A87" t="s">
        <v>498</v>
      </c>
      <c r="B87" s="4" t="s">
        <v>1067</v>
      </c>
      <c r="C87">
        <v>454</v>
      </c>
      <c r="D87" t="s">
        <v>499</v>
      </c>
      <c r="E87" t="s">
        <v>419</v>
      </c>
      <c r="F87" t="s">
        <v>57</v>
      </c>
      <c r="G87" t="str">
        <f>A87</f>
        <v>HIPERMARKET MONTECRISTI</v>
      </c>
      <c r="H87" t="str">
        <f>+VLOOKUP(B87,[1]Hoja1!$A:$A,1,0)</f>
        <v>454</v>
      </c>
    </row>
    <row r="88" spans="1:8" x14ac:dyDescent="0.25">
      <c r="A88" t="s">
        <v>16</v>
      </c>
      <c r="B88" s="4" t="s">
        <v>1154</v>
      </c>
      <c r="C88">
        <v>6</v>
      </c>
      <c r="D88" t="s">
        <v>17</v>
      </c>
      <c r="E88" t="s">
        <v>18</v>
      </c>
      <c r="F88" t="s">
        <v>19</v>
      </c>
      <c r="G88" t="s">
        <v>748</v>
      </c>
      <c r="H88" t="str">
        <f>+VLOOKUP(B88,[1]Hoja1!$A:$A,1,0)</f>
        <v>6</v>
      </c>
    </row>
    <row r="89" spans="1:8" x14ac:dyDescent="0.25">
      <c r="A89" t="s">
        <v>382</v>
      </c>
      <c r="B89" s="4" t="s">
        <v>1155</v>
      </c>
      <c r="C89">
        <v>373</v>
      </c>
      <c r="D89" t="s">
        <v>17</v>
      </c>
      <c r="E89" t="s">
        <v>18</v>
      </c>
      <c r="F89" t="s">
        <v>19</v>
      </c>
      <c r="G89" t="s">
        <v>748</v>
      </c>
      <c r="H89" t="str">
        <f>+VLOOKUP(B89,[1]Hoja1!$A:$A,1,0)</f>
        <v>373</v>
      </c>
    </row>
    <row r="90" spans="1:8" x14ac:dyDescent="0.25">
      <c r="A90" t="s">
        <v>748</v>
      </c>
      <c r="B90" s="4" t="s">
        <v>749</v>
      </c>
      <c r="C90" t="s">
        <v>750</v>
      </c>
      <c r="D90" t="s">
        <v>17</v>
      </c>
      <c r="E90" t="s">
        <v>18</v>
      </c>
      <c r="F90" t="s">
        <v>19</v>
      </c>
      <c r="G90" t="s">
        <v>748</v>
      </c>
      <c r="H90" t="str">
        <f>+VLOOKUP(B90,[1]Hoja1!$A:$A,1,0)</f>
        <v>A0028</v>
      </c>
    </row>
    <row r="91" spans="1:8" x14ac:dyDescent="0.25">
      <c r="A91" t="s">
        <v>590</v>
      </c>
      <c r="B91" s="4" t="s">
        <v>1272</v>
      </c>
      <c r="C91">
        <v>523</v>
      </c>
      <c r="D91" t="s">
        <v>591</v>
      </c>
      <c r="E91" t="s">
        <v>64</v>
      </c>
      <c r="F91" t="s">
        <v>57</v>
      </c>
      <c r="G91" t="str">
        <f>A91</f>
        <v>TUTI PRIMERO DE MAYO</v>
      </c>
      <c r="H91" t="str">
        <f>+VLOOKUP(B91,[1]Hoja1!$A:$A,1,0)</f>
        <v>523</v>
      </c>
    </row>
    <row r="92" spans="1:8" x14ac:dyDescent="0.25">
      <c r="A92" t="s">
        <v>693</v>
      </c>
      <c r="B92" s="4" t="s">
        <v>694</v>
      </c>
      <c r="C92" t="s">
        <v>695</v>
      </c>
      <c r="D92" t="s">
        <v>68</v>
      </c>
      <c r="E92" t="s">
        <v>69</v>
      </c>
      <c r="F92" t="s">
        <v>9</v>
      </c>
      <c r="G92" t="s">
        <v>693</v>
      </c>
      <c r="H92" t="str">
        <f>+VLOOKUP(B92,[1]Hoja1!$A:$A,1,0)</f>
        <v>A0009</v>
      </c>
    </row>
    <row r="93" spans="1:8" x14ac:dyDescent="0.25">
      <c r="A93" t="s">
        <v>366</v>
      </c>
      <c r="B93" s="4" t="s">
        <v>1109</v>
      </c>
      <c r="C93">
        <v>356</v>
      </c>
      <c r="D93" t="s">
        <v>68</v>
      </c>
      <c r="E93" t="s">
        <v>69</v>
      </c>
      <c r="F93" t="s">
        <v>9</v>
      </c>
      <c r="G93" t="s">
        <v>693</v>
      </c>
      <c r="H93" t="str">
        <f>+VLOOKUP(B93,[1]Hoja1!$A:$A,1,0)</f>
        <v>356</v>
      </c>
    </row>
    <row r="94" spans="1:8" x14ac:dyDescent="0.25">
      <c r="A94" t="s">
        <v>67</v>
      </c>
      <c r="B94" s="4" t="s">
        <v>1129</v>
      </c>
      <c r="C94">
        <v>40</v>
      </c>
      <c r="D94" t="s">
        <v>68</v>
      </c>
      <c r="E94" t="s">
        <v>69</v>
      </c>
      <c r="F94" t="s">
        <v>9</v>
      </c>
      <c r="G94" t="s">
        <v>693</v>
      </c>
      <c r="H94" t="str">
        <f>+VLOOKUP(B94,[1]Hoja1!$A:$A,1,0)</f>
        <v>40</v>
      </c>
    </row>
    <row r="95" spans="1:8" x14ac:dyDescent="0.25">
      <c r="A95" t="s">
        <v>417</v>
      </c>
      <c r="B95" s="4" t="s">
        <v>1256</v>
      </c>
      <c r="C95">
        <v>400</v>
      </c>
      <c r="D95" t="s">
        <v>418</v>
      </c>
      <c r="E95" t="s">
        <v>419</v>
      </c>
      <c r="F95" t="s">
        <v>57</v>
      </c>
      <c r="G95" t="str">
        <f>A95</f>
        <v>TIA MONTECRISTI</v>
      </c>
      <c r="H95" t="str">
        <f>+VLOOKUP(B95,[1]Hoja1!$A:$A,1,0)</f>
        <v>400</v>
      </c>
    </row>
    <row r="96" spans="1:8" x14ac:dyDescent="0.25">
      <c r="A96" t="s">
        <v>62</v>
      </c>
      <c r="B96" s="4" t="s">
        <v>1153</v>
      </c>
      <c r="C96">
        <v>34</v>
      </c>
      <c r="D96" t="s">
        <v>63</v>
      </c>
      <c r="E96" t="s">
        <v>64</v>
      </c>
      <c r="F96" t="s">
        <v>57</v>
      </c>
      <c r="G96" t="s">
        <v>745</v>
      </c>
      <c r="H96" t="str">
        <f>+VLOOKUP(B96,[1]Hoja1!$A:$A,1,0)</f>
        <v>34</v>
      </c>
    </row>
    <row r="97" spans="1:8" x14ac:dyDescent="0.25">
      <c r="A97" t="s">
        <v>745</v>
      </c>
      <c r="B97" s="4" t="s">
        <v>746</v>
      </c>
      <c r="C97" t="s">
        <v>747</v>
      </c>
      <c r="D97" t="s">
        <v>63</v>
      </c>
      <c r="E97" t="s">
        <v>64</v>
      </c>
      <c r="F97" t="s">
        <v>57</v>
      </c>
      <c r="G97" t="s">
        <v>745</v>
      </c>
      <c r="H97" t="str">
        <f>+VLOOKUP(B97,[1]Hoja1!$A:$A,1,0)</f>
        <v>A0027</v>
      </c>
    </row>
    <row r="98" spans="1:8" x14ac:dyDescent="0.25">
      <c r="A98" t="s">
        <v>468</v>
      </c>
      <c r="B98" s="4" t="s">
        <v>1031</v>
      </c>
      <c r="C98">
        <v>435</v>
      </c>
      <c r="D98" t="s">
        <v>469</v>
      </c>
      <c r="E98" t="s">
        <v>64</v>
      </c>
      <c r="F98" t="s">
        <v>57</v>
      </c>
      <c r="G98" t="str">
        <f t="shared" ref="G98:G101" si="9">A98</f>
        <v>CENTRO PORTOVIEJO</v>
      </c>
      <c r="H98" t="str">
        <f>+VLOOKUP(B98,[1]Hoja1!$A:$A,1,0)</f>
        <v>435</v>
      </c>
    </row>
    <row r="99" spans="1:8" x14ac:dyDescent="0.25">
      <c r="A99" t="s">
        <v>112</v>
      </c>
      <c r="B99" s="4" t="s">
        <v>1005</v>
      </c>
      <c r="C99">
        <v>66</v>
      </c>
      <c r="D99" t="s">
        <v>113</v>
      </c>
      <c r="E99" t="s">
        <v>64</v>
      </c>
      <c r="F99" t="s">
        <v>57</v>
      </c>
      <c r="G99" t="str">
        <f t="shared" si="9"/>
        <v>C.C. PASEO PORTOVIEJO MI CO</v>
      </c>
      <c r="H99" t="str">
        <f>+VLOOKUP(B99,[1]Hoja1!$A:$A,1,0)</f>
        <v>66</v>
      </c>
    </row>
    <row r="100" spans="1:8" x14ac:dyDescent="0.25">
      <c r="A100" t="s">
        <v>343</v>
      </c>
      <c r="B100" s="4" t="s">
        <v>1230</v>
      </c>
      <c r="C100">
        <v>336</v>
      </c>
      <c r="D100" t="s">
        <v>344</v>
      </c>
      <c r="E100" t="s">
        <v>64</v>
      </c>
      <c r="F100" t="s">
        <v>57</v>
      </c>
      <c r="G100" t="str">
        <f t="shared" si="9"/>
        <v>TER. TERREST. PORTOVIEJO</v>
      </c>
      <c r="H100" t="str">
        <f>+VLOOKUP(B100,[1]Hoja1!$A:$A,1,0)</f>
        <v>336</v>
      </c>
    </row>
    <row r="101" spans="1:8" x14ac:dyDescent="0.25">
      <c r="A101" t="s">
        <v>530</v>
      </c>
      <c r="B101" s="4" t="s">
        <v>1068</v>
      </c>
      <c r="C101">
        <v>478</v>
      </c>
      <c r="D101" t="s">
        <v>531</v>
      </c>
      <c r="E101" t="s">
        <v>64</v>
      </c>
      <c r="F101" t="s">
        <v>57</v>
      </c>
      <c r="G101" t="str">
        <f t="shared" si="9"/>
        <v>HIPERMARKET PORTOVIEJO</v>
      </c>
      <c r="H101" t="str">
        <f>+VLOOKUP(B101,[1]Hoja1!$A:$A,1,0)</f>
        <v>478</v>
      </c>
    </row>
    <row r="102" spans="1:8" x14ac:dyDescent="0.25">
      <c r="A102" t="s">
        <v>775</v>
      </c>
      <c r="B102" s="4" t="s">
        <v>776</v>
      </c>
      <c r="C102" t="s">
        <v>777</v>
      </c>
      <c r="D102" t="s">
        <v>421</v>
      </c>
      <c r="E102" t="s">
        <v>64</v>
      </c>
      <c r="F102" t="s">
        <v>57</v>
      </c>
      <c r="G102" t="s">
        <v>775</v>
      </c>
      <c r="H102" t="str">
        <f>+VLOOKUP(B102,[1]Hoja1!$A:$A,1,0)</f>
        <v>A0037</v>
      </c>
    </row>
    <row r="103" spans="1:8" x14ac:dyDescent="0.25">
      <c r="A103" t="s">
        <v>420</v>
      </c>
      <c r="B103" s="4" t="s">
        <v>979</v>
      </c>
      <c r="C103">
        <v>402</v>
      </c>
      <c r="D103" t="s">
        <v>421</v>
      </c>
      <c r="E103" t="s">
        <v>64</v>
      </c>
      <c r="F103" t="s">
        <v>57</v>
      </c>
      <c r="G103" t="s">
        <v>775</v>
      </c>
      <c r="H103" t="str">
        <f>+VLOOKUP(B103,[1]Hoja1!$A:$A,1,0)</f>
        <v>402</v>
      </c>
    </row>
    <row r="104" spans="1:8" x14ac:dyDescent="0.25">
      <c r="A104" t="s">
        <v>598</v>
      </c>
      <c r="B104" s="4" t="s">
        <v>1270</v>
      </c>
      <c r="C104">
        <v>527</v>
      </c>
      <c r="D104" t="s">
        <v>599</v>
      </c>
      <c r="E104" t="s">
        <v>82</v>
      </c>
      <c r="F104" t="s">
        <v>83</v>
      </c>
      <c r="G104" t="str">
        <f>A104</f>
        <v>TUTI FICOA</v>
      </c>
      <c r="H104" t="str">
        <f>+VLOOKUP(B104,[1]Hoja1!$A:$A,1,0)</f>
        <v>527</v>
      </c>
    </row>
    <row r="105" spans="1:8" x14ac:dyDescent="0.25">
      <c r="A105" t="s">
        <v>879</v>
      </c>
      <c r="B105" s="4" t="s">
        <v>880</v>
      </c>
      <c r="C105" t="s">
        <v>881</v>
      </c>
      <c r="D105" t="s">
        <v>81</v>
      </c>
      <c r="E105" t="s">
        <v>82</v>
      </c>
      <c r="F105" t="s">
        <v>83</v>
      </c>
      <c r="G105" t="s">
        <v>879</v>
      </c>
      <c r="H105" t="str">
        <f>+VLOOKUP(B105,[1]Hoja1!$A:$A,1,0)</f>
        <v>A0074</v>
      </c>
    </row>
    <row r="106" spans="1:8" x14ac:dyDescent="0.25">
      <c r="A106" t="s">
        <v>80</v>
      </c>
      <c r="B106" s="4" t="s">
        <v>1119</v>
      </c>
      <c r="C106">
        <v>48</v>
      </c>
      <c r="D106" t="s">
        <v>81</v>
      </c>
      <c r="E106" t="s">
        <v>82</v>
      </c>
      <c r="F106" t="s">
        <v>83</v>
      </c>
      <c r="G106" t="s">
        <v>879</v>
      </c>
      <c r="H106" t="str">
        <f>+VLOOKUP(B106,[1]Hoja1!$A:$A,1,0)</f>
        <v>48</v>
      </c>
    </row>
    <row r="107" spans="1:8" x14ac:dyDescent="0.25">
      <c r="A107" t="s">
        <v>296</v>
      </c>
      <c r="B107" s="4" t="s">
        <v>1185</v>
      </c>
      <c r="C107">
        <v>292</v>
      </c>
      <c r="D107" t="s">
        <v>297</v>
      </c>
      <c r="E107" t="s">
        <v>82</v>
      </c>
      <c r="F107" t="s">
        <v>83</v>
      </c>
      <c r="G107" t="str">
        <f>A107</f>
        <v>PRIMAX AMBATO, LOS SAUCES,</v>
      </c>
      <c r="H107" t="str">
        <f>+VLOOKUP(B107,[1]Hoja1!$A:$A,1,0)</f>
        <v>292</v>
      </c>
    </row>
    <row r="108" spans="1:8" x14ac:dyDescent="0.25">
      <c r="A108" t="s">
        <v>179</v>
      </c>
      <c r="B108" s="4" t="s">
        <v>984</v>
      </c>
      <c r="C108">
        <v>134</v>
      </c>
      <c r="D108" t="s">
        <v>180</v>
      </c>
      <c r="E108" t="s">
        <v>82</v>
      </c>
      <c r="F108" t="s">
        <v>83</v>
      </c>
      <c r="G108" t="s">
        <v>946</v>
      </c>
      <c r="H108" t="str">
        <f>+VLOOKUP(B108,[1]Hoja1!$A:$A,1,0)</f>
        <v>134</v>
      </c>
    </row>
    <row r="109" spans="1:8" x14ac:dyDescent="0.25">
      <c r="A109" t="s">
        <v>946</v>
      </c>
      <c r="B109" s="4" t="s">
        <v>947</v>
      </c>
      <c r="C109" t="s">
        <v>948</v>
      </c>
      <c r="D109" t="s">
        <v>180</v>
      </c>
      <c r="E109" t="s">
        <v>82</v>
      </c>
      <c r="F109" t="s">
        <v>83</v>
      </c>
      <c r="G109" t="s">
        <v>946</v>
      </c>
      <c r="H109" t="str">
        <f>+VLOOKUP(B109,[1]Hoja1!$A:$A,1,0)</f>
        <v>A0099</v>
      </c>
    </row>
    <row r="110" spans="1:8" x14ac:dyDescent="0.25">
      <c r="A110" t="s">
        <v>553</v>
      </c>
      <c r="B110" s="4" t="s">
        <v>1168</v>
      </c>
      <c r="C110">
        <v>498</v>
      </c>
      <c r="D110" t="s">
        <v>554</v>
      </c>
      <c r="E110" t="s">
        <v>82</v>
      </c>
      <c r="F110" t="s">
        <v>83</v>
      </c>
      <c r="G110" t="str">
        <f t="shared" ref="G110:G111" si="10">A110</f>
        <v>PETROLEOS Y SERVICIOS</v>
      </c>
      <c r="H110" t="str">
        <f>+VLOOKUP(B110,[1]Hoja1!$A:$A,1,0)</f>
        <v>498</v>
      </c>
    </row>
    <row r="111" spans="1:8" x14ac:dyDescent="0.25">
      <c r="A111" t="s">
        <v>604</v>
      </c>
      <c r="B111" s="4" t="s">
        <v>1266</v>
      </c>
      <c r="C111">
        <v>530</v>
      </c>
      <c r="D111" t="s">
        <v>605</v>
      </c>
      <c r="E111" t="s">
        <v>606</v>
      </c>
      <c r="F111" t="s">
        <v>83</v>
      </c>
      <c r="G111" t="str">
        <f t="shared" si="10"/>
        <v>TUTI BAÑOS</v>
      </c>
      <c r="H111" t="str">
        <f>+VLOOKUP(B111,[1]Hoja1!$A:$A,1,0)</f>
        <v>530</v>
      </c>
    </row>
    <row r="112" spans="1:8" x14ac:dyDescent="0.25">
      <c r="A112" t="s">
        <v>649</v>
      </c>
      <c r="B112" s="4" t="s">
        <v>1274</v>
      </c>
      <c r="C112">
        <v>554</v>
      </c>
      <c r="D112" t="s">
        <v>650</v>
      </c>
      <c r="E112" t="s">
        <v>651</v>
      </c>
      <c r="F112" t="s">
        <v>19</v>
      </c>
      <c r="G112" t="s">
        <v>649</v>
      </c>
      <c r="H112" t="str">
        <f>+VLOOKUP(B112,[1]Hoja1!$A:$A,1,0)</f>
        <v>554</v>
      </c>
    </row>
    <row r="113" spans="1:8" x14ac:dyDescent="0.25">
      <c r="A113" t="s">
        <v>646</v>
      </c>
      <c r="B113" s="4" t="s">
        <v>1275</v>
      </c>
      <c r="C113">
        <v>553</v>
      </c>
      <c r="D113" t="s">
        <v>647</v>
      </c>
      <c r="E113" t="s">
        <v>648</v>
      </c>
      <c r="F113" t="s">
        <v>19</v>
      </c>
      <c r="G113" t="s">
        <v>646</v>
      </c>
      <c r="H113" t="str">
        <f>+VLOOKUP(B113,[1]Hoja1!$A:$A,1,0)</f>
        <v>553</v>
      </c>
    </row>
    <row r="114" spans="1:8" x14ac:dyDescent="0.25">
      <c r="A114" t="s">
        <v>633</v>
      </c>
      <c r="B114" s="4" t="s">
        <v>1175</v>
      </c>
      <c r="C114">
        <v>547</v>
      </c>
      <c r="D114" t="s">
        <v>634</v>
      </c>
      <c r="E114" t="s">
        <v>635</v>
      </c>
      <c r="F114" t="s">
        <v>89</v>
      </c>
      <c r="G114" t="str">
        <f t="shared" ref="G114:G115" si="11">A114</f>
        <v>PLAZA OLÓN</v>
      </c>
      <c r="H114" t="str">
        <f>+VLOOKUP(B114,[1]Hoja1!$A:$A,1,0)</f>
        <v>547</v>
      </c>
    </row>
    <row r="115" spans="1:8" x14ac:dyDescent="0.25">
      <c r="A115" t="s">
        <v>549</v>
      </c>
      <c r="B115" s="4" t="s">
        <v>991</v>
      </c>
      <c r="C115">
        <v>496</v>
      </c>
      <c r="D115" t="s">
        <v>550</v>
      </c>
      <c r="E115" t="s">
        <v>123</v>
      </c>
      <c r="F115" t="s">
        <v>19</v>
      </c>
      <c r="G115" t="str">
        <f t="shared" si="11"/>
        <v>AVÍCOLA FERNANDEZ BABAHOYO</v>
      </c>
      <c r="H115" t="str">
        <f>+VLOOKUP(B115,[1]Hoja1!$A:$A,1,0)</f>
        <v>496</v>
      </c>
    </row>
    <row r="116" spans="1:8" x14ac:dyDescent="0.25">
      <c r="A116" t="s">
        <v>678</v>
      </c>
      <c r="B116" s="4" t="s">
        <v>679</v>
      </c>
      <c r="C116" t="s">
        <v>680</v>
      </c>
      <c r="D116" t="s">
        <v>122</v>
      </c>
      <c r="E116" t="s">
        <v>123</v>
      </c>
      <c r="F116" t="s">
        <v>19</v>
      </c>
      <c r="G116" t="s">
        <v>678</v>
      </c>
      <c r="H116" t="str">
        <f>+VLOOKUP(B116,[1]Hoja1!$A:$A,1,0)</f>
        <v>A0004</v>
      </c>
    </row>
    <row r="117" spans="1:8" x14ac:dyDescent="0.25">
      <c r="A117" t="s">
        <v>121</v>
      </c>
      <c r="B117" s="4" t="s">
        <v>1121</v>
      </c>
      <c r="C117">
        <v>77</v>
      </c>
      <c r="D117" t="s">
        <v>122</v>
      </c>
      <c r="E117" t="s">
        <v>123</v>
      </c>
      <c r="F117" t="s">
        <v>19</v>
      </c>
      <c r="G117" t="s">
        <v>678</v>
      </c>
      <c r="H117" t="str">
        <f>+VLOOKUP(B117,[1]Hoja1!$A:$A,1,0)</f>
        <v>77</v>
      </c>
    </row>
    <row r="118" spans="1:8" x14ac:dyDescent="0.25">
      <c r="A118" t="s">
        <v>401</v>
      </c>
      <c r="B118" s="4" t="s">
        <v>1165</v>
      </c>
      <c r="C118">
        <v>392</v>
      </c>
      <c r="D118" t="s">
        <v>402</v>
      </c>
      <c r="E118" t="s">
        <v>123</v>
      </c>
      <c r="F118" t="s">
        <v>19</v>
      </c>
      <c r="G118" t="str">
        <f t="shared" ref="G118:G120" si="12">A118</f>
        <v>PASEO SHOPPING BABAHOYO</v>
      </c>
      <c r="H118" t="str">
        <f>+VLOOKUP(B118,[1]Hoja1!$A:$A,1,0)</f>
        <v>392</v>
      </c>
    </row>
    <row r="119" spans="1:8" x14ac:dyDescent="0.25">
      <c r="A119" t="s">
        <v>623</v>
      </c>
      <c r="B119" s="4" t="s">
        <v>1255</v>
      </c>
      <c r="C119">
        <v>541</v>
      </c>
      <c r="D119" t="s">
        <v>624</v>
      </c>
      <c r="E119" t="s">
        <v>199</v>
      </c>
      <c r="F119" t="s">
        <v>89</v>
      </c>
      <c r="G119" t="str">
        <f t="shared" si="12"/>
        <v>TIA MONTAÑITA</v>
      </c>
      <c r="H119" t="str">
        <f>+VLOOKUP(B119,[1]Hoja1!$A:$A,1,0)</f>
        <v>541</v>
      </c>
    </row>
    <row r="120" spans="1:8" x14ac:dyDescent="0.25">
      <c r="A120" t="s">
        <v>197</v>
      </c>
      <c r="B120" s="4" t="s">
        <v>1075</v>
      </c>
      <c r="C120">
        <v>152</v>
      </c>
      <c r="D120" t="s">
        <v>198</v>
      </c>
      <c r="E120" t="s">
        <v>199</v>
      </c>
      <c r="F120" t="s">
        <v>89</v>
      </c>
      <c r="G120" t="str">
        <f t="shared" si="12"/>
        <v>HOTEL MONTAÑITA</v>
      </c>
      <c r="H120" t="str">
        <f>+VLOOKUP(B120,[1]Hoja1!$A:$A,1,0)</f>
        <v>152</v>
      </c>
    </row>
    <row r="121" spans="1:8" x14ac:dyDescent="0.25">
      <c r="A121" t="s">
        <v>848</v>
      </c>
      <c r="B121" s="4" t="s">
        <v>849</v>
      </c>
      <c r="C121" t="s">
        <v>850</v>
      </c>
      <c r="D121" t="s">
        <v>198</v>
      </c>
      <c r="E121" t="s">
        <v>199</v>
      </c>
      <c r="F121" t="s">
        <v>89</v>
      </c>
      <c r="G121" t="s">
        <v>197</v>
      </c>
      <c r="H121" t="str">
        <f>+VLOOKUP(B121,[1]Hoja1!$A:$A,1,0)</f>
        <v>A0061</v>
      </c>
    </row>
    <row r="122" spans="1:8" x14ac:dyDescent="0.25">
      <c r="A122" t="s">
        <v>482</v>
      </c>
      <c r="B122" s="4" t="s">
        <v>1166</v>
      </c>
      <c r="C122">
        <v>446</v>
      </c>
      <c r="D122" t="s">
        <v>483</v>
      </c>
      <c r="E122" t="s">
        <v>484</v>
      </c>
      <c r="F122" t="s">
        <v>9</v>
      </c>
      <c r="G122" t="str">
        <f t="shared" ref="G122:G137" si="13">A122</f>
        <v>PASEO SHOPPING DAULE</v>
      </c>
      <c r="H122" t="str">
        <f>+VLOOKUP(B122,[1]Hoja1!$A:$A,1,0)</f>
        <v>446</v>
      </c>
    </row>
    <row r="123" spans="1:8" x14ac:dyDescent="0.25">
      <c r="A123" t="s">
        <v>572</v>
      </c>
      <c r="B123" s="4" t="s">
        <v>1029</v>
      </c>
      <c r="C123">
        <v>513</v>
      </c>
      <c r="D123" t="s">
        <v>573</v>
      </c>
      <c r="E123" t="s">
        <v>8</v>
      </c>
      <c r="F123" t="s">
        <v>9</v>
      </c>
      <c r="G123" t="str">
        <f t="shared" si="13"/>
        <v>CD TUTI VIA DAULE</v>
      </c>
      <c r="H123" t="str">
        <f>+VLOOKUP(B123,[1]Hoja1!$A:$A,1,0)</f>
        <v>513</v>
      </c>
    </row>
    <row r="124" spans="1:8" x14ac:dyDescent="0.25">
      <c r="A124" t="s">
        <v>542</v>
      </c>
      <c r="B124" s="4" t="s">
        <v>1027</v>
      </c>
      <c r="C124">
        <v>489</v>
      </c>
      <c r="D124" t="s">
        <v>543</v>
      </c>
      <c r="E124" t="s">
        <v>8</v>
      </c>
      <c r="F124" t="s">
        <v>9</v>
      </c>
      <c r="G124" t="str">
        <f t="shared" si="13"/>
        <v>CD DIFARE</v>
      </c>
      <c r="H124" t="str">
        <f>+VLOOKUP(B124,[1]Hoja1!$A:$A,1,0)</f>
        <v>489</v>
      </c>
    </row>
    <row r="125" spans="1:8" x14ac:dyDescent="0.25">
      <c r="A125" t="s">
        <v>385</v>
      </c>
      <c r="B125" s="4" t="s">
        <v>1179</v>
      </c>
      <c r="C125">
        <v>379</v>
      </c>
      <c r="D125" t="s">
        <v>386</v>
      </c>
      <c r="E125" t="s">
        <v>357</v>
      </c>
      <c r="F125" t="s">
        <v>9</v>
      </c>
      <c r="G125" t="str">
        <f t="shared" si="13"/>
        <v>PLAZA TIA LA JOYA (REINSTALADO)</v>
      </c>
      <c r="H125" t="str">
        <f>+VLOOKUP(B125,[1]Hoja1!$A:$A,1,0)</f>
        <v>379</v>
      </c>
    </row>
    <row r="126" spans="1:8" x14ac:dyDescent="0.25">
      <c r="A126" t="s">
        <v>600</v>
      </c>
      <c r="B126" s="4" t="s">
        <v>1201</v>
      </c>
      <c r="C126">
        <v>528</v>
      </c>
      <c r="D126" t="s">
        <v>601</v>
      </c>
      <c r="E126" t="s">
        <v>357</v>
      </c>
      <c r="F126" t="s">
        <v>9</v>
      </c>
      <c r="G126" t="str">
        <f t="shared" si="13"/>
        <v>PRIMAX MAGNA</v>
      </c>
      <c r="H126" t="str">
        <f>+VLOOKUP(B126,[1]Hoja1!$A:$A,1,0)</f>
        <v>528</v>
      </c>
    </row>
    <row r="127" spans="1:8" x14ac:dyDescent="0.25">
      <c r="A127" t="s">
        <v>581</v>
      </c>
      <c r="B127" s="4" t="s">
        <v>1172</v>
      </c>
      <c r="C127">
        <v>518</v>
      </c>
      <c r="D127" t="s">
        <v>582</v>
      </c>
      <c r="E127" t="s">
        <v>357</v>
      </c>
      <c r="F127" t="s">
        <v>9</v>
      </c>
      <c r="G127" t="str">
        <f t="shared" si="13"/>
        <v>PLAZA CASA LAGUNA</v>
      </c>
      <c r="H127" t="str">
        <f>+VLOOKUP(B127,[1]Hoja1!$A:$A,1,0)</f>
        <v>518</v>
      </c>
    </row>
    <row r="128" spans="1:8" x14ac:dyDescent="0.25">
      <c r="A128" t="s">
        <v>617</v>
      </c>
      <c r="B128" s="4" t="s">
        <v>1101</v>
      </c>
      <c r="C128">
        <v>538</v>
      </c>
      <c r="D128" t="s">
        <v>618</v>
      </c>
      <c r="E128" t="s">
        <v>357</v>
      </c>
      <c r="F128" t="s">
        <v>9</v>
      </c>
      <c r="G128" t="str">
        <f t="shared" si="13"/>
        <v>MI COMISARIATO LA JOYA</v>
      </c>
      <c r="H128" t="str">
        <f>+VLOOKUP(B128,[1]Hoja1!$A:$A,1,0)</f>
        <v>538</v>
      </c>
    </row>
    <row r="129" spans="1:8" x14ac:dyDescent="0.25">
      <c r="A129" t="s">
        <v>636</v>
      </c>
      <c r="B129" s="4" t="s">
        <v>974</v>
      </c>
      <c r="C129">
        <v>548</v>
      </c>
      <c r="D129" t="s">
        <v>637</v>
      </c>
      <c r="E129" t="s">
        <v>53</v>
      </c>
      <c r="F129" t="s">
        <v>9</v>
      </c>
      <c r="G129" t="str">
        <f t="shared" si="13"/>
        <v>ALMAX CENTER</v>
      </c>
      <c r="H129" t="str">
        <f>+VLOOKUP(B129,[1]Hoja1!$A:$A,1,0)</f>
        <v>548</v>
      </c>
    </row>
    <row r="130" spans="1:8" x14ac:dyDescent="0.25">
      <c r="A130" t="s">
        <v>502</v>
      </c>
      <c r="B130" s="4" t="s">
        <v>1028</v>
      </c>
      <c r="C130">
        <v>456</v>
      </c>
      <c r="D130" t="s">
        <v>503</v>
      </c>
      <c r="E130" t="s">
        <v>8</v>
      </c>
      <c r="F130" t="s">
        <v>9</v>
      </c>
      <c r="G130" t="str">
        <f t="shared" si="13"/>
        <v>CD EL ROSADO</v>
      </c>
      <c r="H130" t="str">
        <f>+VLOOKUP(B130,[1]Hoja1!$A:$A,1,0)</f>
        <v>456</v>
      </c>
    </row>
    <row r="131" spans="1:8" x14ac:dyDescent="0.25">
      <c r="A131" t="s">
        <v>569</v>
      </c>
      <c r="B131" s="4" t="s">
        <v>1042</v>
      </c>
      <c r="C131">
        <v>511</v>
      </c>
      <c r="D131" t="s">
        <v>570</v>
      </c>
      <c r="E131" t="s">
        <v>53</v>
      </c>
      <c r="F131" t="s">
        <v>9</v>
      </c>
      <c r="G131" t="str">
        <f t="shared" si="13"/>
        <v>ECOTEC</v>
      </c>
      <c r="H131" t="str">
        <f>+VLOOKUP(B131,[1]Hoja1!$A:$A,1,0)</f>
        <v>511</v>
      </c>
    </row>
    <row r="132" spans="1:8" x14ac:dyDescent="0.25">
      <c r="A132" t="s">
        <v>536</v>
      </c>
      <c r="B132" s="4" t="s">
        <v>1036</v>
      </c>
      <c r="C132">
        <v>483</v>
      </c>
      <c r="D132" t="s">
        <v>537</v>
      </c>
      <c r="E132" t="s">
        <v>357</v>
      </c>
      <c r="F132" t="s">
        <v>9</v>
      </c>
      <c r="G132" t="str">
        <f t="shared" si="13"/>
        <v>DEL PORTAL LA JOYA</v>
      </c>
      <c r="H132" t="str">
        <f>+VLOOKUP(B132,[1]Hoja1!$A:$A,1,0)</f>
        <v>483</v>
      </c>
    </row>
    <row r="133" spans="1:8" x14ac:dyDescent="0.25">
      <c r="A133" t="s">
        <v>464</v>
      </c>
      <c r="B133" s="4" t="s">
        <v>1037</v>
      </c>
      <c r="C133">
        <v>431</v>
      </c>
      <c r="D133" t="s">
        <v>465</v>
      </c>
      <c r="E133" t="s">
        <v>357</v>
      </c>
      <c r="F133" t="s">
        <v>9</v>
      </c>
      <c r="G133" t="str">
        <f t="shared" si="13"/>
        <v>DEL PORTAL VILLA CLUB</v>
      </c>
      <c r="H133" t="str">
        <f>+VLOOKUP(B133,[1]Hoja1!$A:$A,1,0)</f>
        <v>431</v>
      </c>
    </row>
    <row r="134" spans="1:8" x14ac:dyDescent="0.25">
      <c r="A134" t="s">
        <v>504</v>
      </c>
      <c r="B134" s="4" t="s">
        <v>1199</v>
      </c>
      <c r="C134">
        <v>457</v>
      </c>
      <c r="D134" t="s">
        <v>505</v>
      </c>
      <c r="E134" t="s">
        <v>357</v>
      </c>
      <c r="F134" t="s">
        <v>9</v>
      </c>
      <c r="G134" t="str">
        <f t="shared" si="13"/>
        <v>PRIMAX LA AURORA</v>
      </c>
      <c r="H134" t="str">
        <f>+VLOOKUP(B134,[1]Hoja1!$A:$A,1,0)</f>
        <v>457</v>
      </c>
    </row>
    <row r="135" spans="1:8" x14ac:dyDescent="0.25">
      <c r="A135" t="s">
        <v>376</v>
      </c>
      <c r="B135" s="4" t="s">
        <v>1248</v>
      </c>
      <c r="C135">
        <v>370</v>
      </c>
      <c r="D135" t="s">
        <v>377</v>
      </c>
      <c r="E135" t="s">
        <v>357</v>
      </c>
      <c r="F135" t="s">
        <v>9</v>
      </c>
      <c r="G135" t="str">
        <f t="shared" si="13"/>
        <v>TIA LA AURORA</v>
      </c>
      <c r="H135" t="str">
        <f>+VLOOKUP(B135,[1]Hoja1!$A:$A,1,0)</f>
        <v>370</v>
      </c>
    </row>
    <row r="136" spans="1:8" x14ac:dyDescent="0.25">
      <c r="A136" t="s">
        <v>516</v>
      </c>
      <c r="B136" s="4" t="s">
        <v>1085</v>
      </c>
      <c r="C136">
        <v>465</v>
      </c>
      <c r="D136" t="s">
        <v>517</v>
      </c>
      <c r="E136" t="s">
        <v>357</v>
      </c>
      <c r="F136" t="s">
        <v>9</v>
      </c>
      <c r="G136" t="str">
        <f t="shared" si="13"/>
        <v>LA CUADRA</v>
      </c>
      <c r="H136" t="str">
        <f>+VLOOKUP(B136,[1]Hoja1!$A:$A,1,0)</f>
        <v>465</v>
      </c>
    </row>
    <row r="137" spans="1:8" x14ac:dyDescent="0.25">
      <c r="A137" t="s">
        <v>355</v>
      </c>
      <c r="B137" s="4" t="s">
        <v>1066</v>
      </c>
      <c r="C137">
        <v>350</v>
      </c>
      <c r="D137" t="s">
        <v>356</v>
      </c>
      <c r="E137" t="s">
        <v>357</v>
      </c>
      <c r="F137" t="s">
        <v>9</v>
      </c>
      <c r="G137" t="str">
        <f t="shared" si="13"/>
        <v>HIPERMARKET LA AURORA</v>
      </c>
      <c r="H137" t="str">
        <f>+VLOOKUP(B137,[1]Hoja1!$A:$A,1,0)</f>
        <v>350</v>
      </c>
    </row>
    <row r="138" spans="1:8" x14ac:dyDescent="0.25">
      <c r="A138" t="s">
        <v>458</v>
      </c>
      <c r="B138" s="4" t="s">
        <v>995</v>
      </c>
      <c r="C138">
        <v>426</v>
      </c>
      <c r="D138" t="s">
        <v>459</v>
      </c>
      <c r="E138" t="s">
        <v>357</v>
      </c>
      <c r="F138" t="s">
        <v>9</v>
      </c>
      <c r="G138" t="s">
        <v>690</v>
      </c>
      <c r="H138" t="str">
        <f>+VLOOKUP(B138,[1]Hoja1!$A:$A,1,0)</f>
        <v>426</v>
      </c>
    </row>
    <row r="139" spans="1:8" x14ac:dyDescent="0.25">
      <c r="A139" t="s">
        <v>690</v>
      </c>
      <c r="B139" s="4" t="s">
        <v>691</v>
      </c>
      <c r="C139" t="s">
        <v>692</v>
      </c>
      <c r="D139" t="s">
        <v>459</v>
      </c>
      <c r="E139" t="s">
        <v>357</v>
      </c>
      <c r="F139" t="s">
        <v>9</v>
      </c>
      <c r="G139" t="s">
        <v>690</v>
      </c>
      <c r="H139" t="str">
        <f>+VLOOKUP(B139,[1]Hoja1!$A:$A,1,0)</f>
        <v>A0008</v>
      </c>
    </row>
    <row r="140" spans="1:8" x14ac:dyDescent="0.25">
      <c r="A140" t="s">
        <v>538</v>
      </c>
      <c r="B140" s="4" t="s">
        <v>1001</v>
      </c>
      <c r="C140">
        <v>484</v>
      </c>
      <c r="D140" t="s">
        <v>539</v>
      </c>
      <c r="E140" t="s">
        <v>8</v>
      </c>
      <c r="F140" t="s">
        <v>9</v>
      </c>
      <c r="G140" t="str">
        <f>A140</f>
        <v>C.C. OASIS</v>
      </c>
      <c r="H140" t="str">
        <f>+VLOOKUP(B140,[1]Hoja1!$A:$A,1,0)</f>
        <v>484</v>
      </c>
    </row>
    <row r="141" spans="1:8" x14ac:dyDescent="0.25">
      <c r="A141" t="s">
        <v>460</v>
      </c>
      <c r="B141" s="4" t="s">
        <v>987</v>
      </c>
      <c r="C141">
        <v>427</v>
      </c>
      <c r="D141" t="s">
        <v>461</v>
      </c>
      <c r="E141" t="s">
        <v>8</v>
      </c>
      <c r="F141" t="s">
        <v>9</v>
      </c>
      <c r="G141" t="s">
        <v>806</v>
      </c>
      <c r="H141" t="str">
        <f>+VLOOKUP(B141,[1]Hoja1!$A:$A,1,0)</f>
        <v>427</v>
      </c>
    </row>
    <row r="142" spans="1:8" x14ac:dyDescent="0.25">
      <c r="A142" t="s">
        <v>806</v>
      </c>
      <c r="B142" s="4" t="s">
        <v>807</v>
      </c>
      <c r="C142" t="s">
        <v>808</v>
      </c>
      <c r="D142" t="s">
        <v>461</v>
      </c>
      <c r="E142" t="s">
        <v>8</v>
      </c>
      <c r="F142" t="s">
        <v>9</v>
      </c>
      <c r="G142" t="s">
        <v>806</v>
      </c>
      <c r="H142" t="str">
        <f>+VLOOKUP(B142,[1]Hoja1!$A:$A,1,0)</f>
        <v>A0047</v>
      </c>
    </row>
    <row r="143" spans="1:8" x14ac:dyDescent="0.25">
      <c r="A143" t="s">
        <v>207</v>
      </c>
      <c r="B143" s="4" t="s">
        <v>1258</v>
      </c>
      <c r="C143">
        <v>158</v>
      </c>
      <c r="D143" t="s">
        <v>208</v>
      </c>
      <c r="E143" t="s">
        <v>8</v>
      </c>
      <c r="F143" t="s">
        <v>9</v>
      </c>
      <c r="G143" t="str">
        <f t="shared" ref="G143:G146" si="14">A143</f>
        <v>TIA PASCUALES</v>
      </c>
      <c r="H143" t="str">
        <f>+VLOOKUP(B143,[1]Hoja1!$A:$A,1,0)</f>
        <v>158</v>
      </c>
    </row>
    <row r="144" spans="1:8" x14ac:dyDescent="0.25">
      <c r="A144" t="s">
        <v>555</v>
      </c>
      <c r="B144" s="4" t="s">
        <v>1104</v>
      </c>
      <c r="C144">
        <v>499</v>
      </c>
      <c r="D144" t="s">
        <v>556</v>
      </c>
      <c r="E144" t="s">
        <v>8</v>
      </c>
      <c r="F144" t="s">
        <v>9</v>
      </c>
      <c r="G144" t="str">
        <f t="shared" si="14"/>
        <v>MUCHO LOTE 2</v>
      </c>
      <c r="H144" t="str">
        <f>+VLOOKUP(B144,[1]Hoja1!$A:$A,1,0)</f>
        <v>499</v>
      </c>
    </row>
    <row r="145" spans="1:8" x14ac:dyDescent="0.25">
      <c r="A145" t="s">
        <v>500</v>
      </c>
      <c r="B145" s="4" t="s">
        <v>1062</v>
      </c>
      <c r="C145">
        <v>455</v>
      </c>
      <c r="D145" t="s">
        <v>501</v>
      </c>
      <c r="E145" t="s">
        <v>8</v>
      </c>
      <c r="F145" t="s">
        <v>9</v>
      </c>
      <c r="G145" t="str">
        <f t="shared" si="14"/>
        <v>HIPER DE MUCHO LOTE 2</v>
      </c>
      <c r="H145" t="str">
        <f>+VLOOKUP(B145,[1]Hoja1!$A:$A,1,0)</f>
        <v>455</v>
      </c>
    </row>
    <row r="146" spans="1:8" x14ac:dyDescent="0.25">
      <c r="A146" t="s">
        <v>470</v>
      </c>
      <c r="B146" s="4" t="s">
        <v>1107</v>
      </c>
      <c r="C146">
        <v>436</v>
      </c>
      <c r="D146" t="s">
        <v>471</v>
      </c>
      <c r="E146" t="s">
        <v>53</v>
      </c>
      <c r="F146" t="s">
        <v>9</v>
      </c>
      <c r="G146" t="str">
        <f t="shared" si="14"/>
        <v>MULTIPLAZA AIRES DEL BATAN</v>
      </c>
      <c r="H146" t="str">
        <f>+VLOOKUP(B146,[1]Hoja1!$A:$A,1,0)</f>
        <v>436</v>
      </c>
    </row>
    <row r="147" spans="1:8" x14ac:dyDescent="0.25">
      <c r="A147" t="s">
        <v>424</v>
      </c>
      <c r="B147" s="4" t="s">
        <v>1231</v>
      </c>
      <c r="C147">
        <v>404</v>
      </c>
      <c r="D147" t="s">
        <v>425</v>
      </c>
      <c r="E147" t="s">
        <v>8</v>
      </c>
      <c r="F147" t="s">
        <v>9</v>
      </c>
      <c r="G147" t="s">
        <v>870</v>
      </c>
      <c r="H147" t="str">
        <f>+VLOOKUP(B147,[1]Hoja1!$A:$A,1,0)</f>
        <v>404</v>
      </c>
    </row>
    <row r="148" spans="1:8" x14ac:dyDescent="0.25">
      <c r="A148" t="s">
        <v>870</v>
      </c>
      <c r="B148" s="4" t="s">
        <v>871</v>
      </c>
      <c r="C148" t="s">
        <v>872</v>
      </c>
      <c r="D148" t="s">
        <v>425</v>
      </c>
      <c r="E148" t="s">
        <v>8</v>
      </c>
      <c r="F148" t="s">
        <v>9</v>
      </c>
      <c r="G148" t="s">
        <v>870</v>
      </c>
      <c r="H148" t="str">
        <f>+VLOOKUP(B148,[1]Hoja1!$A:$A,1,0)</f>
        <v>A0068</v>
      </c>
    </row>
    <row r="149" spans="1:8" x14ac:dyDescent="0.25">
      <c r="A149" t="s">
        <v>588</v>
      </c>
      <c r="B149" s="4" t="s">
        <v>1188</v>
      </c>
      <c r="C149">
        <v>522</v>
      </c>
      <c r="D149" t="s">
        <v>589</v>
      </c>
      <c r="E149" t="s">
        <v>53</v>
      </c>
      <c r="F149" t="s">
        <v>9</v>
      </c>
      <c r="G149" t="str">
        <f t="shared" ref="G149:G155" si="15">A149</f>
        <v>PRIMAX BATAN</v>
      </c>
      <c r="H149" t="str">
        <f>+VLOOKUP(B149,[1]Hoja1!$A:$A,1,0)</f>
        <v>522</v>
      </c>
    </row>
    <row r="150" spans="1:8" x14ac:dyDescent="0.25">
      <c r="A150" t="s">
        <v>640</v>
      </c>
      <c r="B150" s="4" t="s">
        <v>1035</v>
      </c>
      <c r="C150">
        <v>550</v>
      </c>
      <c r="D150" t="s">
        <v>641</v>
      </c>
      <c r="E150" t="s">
        <v>53</v>
      </c>
      <c r="F150" t="s">
        <v>9</v>
      </c>
      <c r="G150" t="str">
        <f t="shared" si="15"/>
        <v>DEL PORTAL CIUDAD CELESTE</v>
      </c>
      <c r="H150" t="str">
        <f>+VLOOKUP(B150,[1]Hoja1!$A:$A,1,0)</f>
        <v>550</v>
      </c>
    </row>
    <row r="151" spans="1:8" x14ac:dyDescent="0.25">
      <c r="A151" t="s">
        <v>629</v>
      </c>
      <c r="B151" s="4" t="s">
        <v>1063</v>
      </c>
      <c r="C151">
        <v>545</v>
      </c>
      <c r="D151" t="s">
        <v>630</v>
      </c>
      <c r="E151" t="s">
        <v>53</v>
      </c>
      <c r="F151" t="s">
        <v>9</v>
      </c>
      <c r="G151" t="str">
        <f t="shared" si="15"/>
        <v>HIPER EL BUIJO</v>
      </c>
      <c r="H151" t="str">
        <f>+VLOOKUP(B151,[1]Hoja1!$A:$A,1,0)</f>
        <v>545</v>
      </c>
    </row>
    <row r="152" spans="1:8" x14ac:dyDescent="0.25">
      <c r="A152" t="s">
        <v>462</v>
      </c>
      <c r="B152" s="4" t="s">
        <v>1055</v>
      </c>
      <c r="C152">
        <v>429</v>
      </c>
      <c r="D152" t="s">
        <v>463</v>
      </c>
      <c r="E152" t="s">
        <v>8</v>
      </c>
      <c r="F152" t="s">
        <v>9</v>
      </c>
      <c r="G152" t="str">
        <f t="shared" si="15"/>
        <v>GAS. PDV TERMINAL PASCUALES</v>
      </c>
      <c r="H152" t="str">
        <f>+VLOOKUP(B152,[1]Hoja1!$A:$A,1,0)</f>
        <v>429</v>
      </c>
    </row>
    <row r="153" spans="1:8" x14ac:dyDescent="0.25">
      <c r="A153" t="s">
        <v>315</v>
      </c>
      <c r="B153" s="4" t="s">
        <v>1257</v>
      </c>
      <c r="C153">
        <v>302</v>
      </c>
      <c r="D153" t="s">
        <v>316</v>
      </c>
      <c r="E153" t="s">
        <v>8</v>
      </c>
      <c r="F153" t="s">
        <v>9</v>
      </c>
      <c r="G153" t="str">
        <f t="shared" si="15"/>
        <v>TIA MUCHO LOTE AV. ISIDRO A</v>
      </c>
      <c r="H153" t="str">
        <f>+VLOOKUP(B153,[1]Hoja1!$A:$A,1,0)</f>
        <v>302</v>
      </c>
    </row>
    <row r="154" spans="1:8" x14ac:dyDescent="0.25">
      <c r="A154" t="s">
        <v>433</v>
      </c>
      <c r="B154" s="4" t="s">
        <v>1105</v>
      </c>
      <c r="C154">
        <v>409</v>
      </c>
      <c r="D154" t="s">
        <v>434</v>
      </c>
      <c r="E154" t="s">
        <v>8</v>
      </c>
      <c r="F154" t="s">
        <v>9</v>
      </c>
      <c r="G154" t="str">
        <f t="shared" si="15"/>
        <v>MUCHO LOTE ETAPA 7</v>
      </c>
      <c r="H154" t="str">
        <f>+VLOOKUP(B154,[1]Hoja1!$A:$A,1,0)</f>
        <v>409</v>
      </c>
    </row>
    <row r="155" spans="1:8" x14ac:dyDescent="0.25">
      <c r="A155" t="s">
        <v>251</v>
      </c>
      <c r="B155" s="4" t="s">
        <v>1265</v>
      </c>
      <c r="C155">
        <v>218</v>
      </c>
      <c r="D155" t="s">
        <v>252</v>
      </c>
      <c r="E155" t="s">
        <v>8</v>
      </c>
      <c r="F155" t="s">
        <v>9</v>
      </c>
      <c r="G155" t="str">
        <f t="shared" si="15"/>
        <v>TIA VERGELES</v>
      </c>
      <c r="H155" t="str">
        <f>+VLOOKUP(B155,[1]Hoja1!$A:$A,1,0)</f>
        <v>218</v>
      </c>
    </row>
    <row r="156" spans="1:8" x14ac:dyDescent="0.25">
      <c r="A156" t="s">
        <v>827</v>
      </c>
      <c r="B156" s="4" t="s">
        <v>828</v>
      </c>
      <c r="C156" t="s">
        <v>829</v>
      </c>
      <c r="D156" t="s">
        <v>327</v>
      </c>
      <c r="E156" t="s">
        <v>8</v>
      </c>
      <c r="F156" t="s">
        <v>9</v>
      </c>
      <c r="G156" t="s">
        <v>827</v>
      </c>
      <c r="H156" t="str">
        <f>+VLOOKUP(B156,[1]Hoja1!$A:$A,1,0)</f>
        <v>A0054</v>
      </c>
    </row>
    <row r="157" spans="1:8" x14ac:dyDescent="0.25">
      <c r="A157" t="s">
        <v>326</v>
      </c>
      <c r="B157" s="4" t="s">
        <v>1080</v>
      </c>
      <c r="C157">
        <v>322</v>
      </c>
      <c r="D157" t="s">
        <v>327</v>
      </c>
      <c r="E157" t="s">
        <v>8</v>
      </c>
      <c r="F157" t="s">
        <v>9</v>
      </c>
      <c r="G157" t="s">
        <v>827</v>
      </c>
      <c r="H157" t="str">
        <f>+VLOOKUP(B157,[1]Hoja1!$A:$A,1,0)</f>
        <v>322</v>
      </c>
    </row>
    <row r="158" spans="1:8" x14ac:dyDescent="0.25">
      <c r="A158" t="s">
        <v>351</v>
      </c>
      <c r="B158" s="4" t="s">
        <v>1069</v>
      </c>
      <c r="C158">
        <v>348</v>
      </c>
      <c r="D158" t="s">
        <v>352</v>
      </c>
      <c r="E158" t="s">
        <v>8</v>
      </c>
      <c r="F158" t="s">
        <v>9</v>
      </c>
      <c r="G158" t="str">
        <f>A158</f>
        <v>HIPERMARKET VIA DAULE 12.5</v>
      </c>
      <c r="H158" t="str">
        <f>+VLOOKUP(B158,[1]Hoja1!$A:$A,1,0)</f>
        <v>348</v>
      </c>
    </row>
    <row r="159" spans="1:8" x14ac:dyDescent="0.25">
      <c r="A159" t="s">
        <v>41</v>
      </c>
      <c r="B159" s="4" t="s">
        <v>993</v>
      </c>
      <c r="C159">
        <v>16</v>
      </c>
      <c r="D159" t="s">
        <v>42</v>
      </c>
      <c r="E159" t="s">
        <v>8</v>
      </c>
      <c r="F159" t="s">
        <v>9</v>
      </c>
      <c r="G159" t="s">
        <v>736</v>
      </c>
      <c r="H159" t="str">
        <f>+VLOOKUP(B159,[1]Hoja1!$A:$A,1,0)</f>
        <v>16</v>
      </c>
    </row>
    <row r="160" spans="1:8" x14ac:dyDescent="0.25">
      <c r="A160" t="s">
        <v>163</v>
      </c>
      <c r="B160" s="4" t="s">
        <v>994</v>
      </c>
      <c r="C160">
        <v>110</v>
      </c>
      <c r="D160" t="s">
        <v>42</v>
      </c>
      <c r="E160" t="s">
        <v>8</v>
      </c>
      <c r="F160" t="s">
        <v>9</v>
      </c>
      <c r="G160" t="s">
        <v>736</v>
      </c>
      <c r="H160" t="str">
        <f>+VLOOKUP(B160,[1]Hoja1!$A:$A,1,0)</f>
        <v>110</v>
      </c>
    </row>
    <row r="161" spans="1:8" x14ac:dyDescent="0.25">
      <c r="A161" t="s">
        <v>736</v>
      </c>
      <c r="B161" s="4" t="s">
        <v>737</v>
      </c>
      <c r="C161" t="s">
        <v>738</v>
      </c>
      <c r="D161" t="s">
        <v>42</v>
      </c>
      <c r="E161" t="s">
        <v>8</v>
      </c>
      <c r="F161" t="s">
        <v>9</v>
      </c>
      <c r="G161" t="s">
        <v>736</v>
      </c>
      <c r="H161" t="str">
        <f>+VLOOKUP(B161,[1]Hoja1!$A:$A,1,0)</f>
        <v>A0024</v>
      </c>
    </row>
    <row r="162" spans="1:8" x14ac:dyDescent="0.25">
      <c r="A162" t="s">
        <v>347</v>
      </c>
      <c r="B162" s="4" t="s">
        <v>1178</v>
      </c>
      <c r="C162">
        <v>342</v>
      </c>
      <c r="D162" t="s">
        <v>348</v>
      </c>
      <c r="E162" t="s">
        <v>8</v>
      </c>
      <c r="F162" t="s">
        <v>9</v>
      </c>
      <c r="G162" t="str">
        <f>A162</f>
        <v>PLAZA TIA BASTION POPULAR</v>
      </c>
      <c r="H162" t="str">
        <f>+VLOOKUP(B162,[1]Hoja1!$A:$A,1,0)</f>
        <v>342</v>
      </c>
    </row>
    <row r="163" spans="1:8" x14ac:dyDescent="0.25">
      <c r="A163" t="s">
        <v>284</v>
      </c>
      <c r="B163" s="4" t="s">
        <v>1174</v>
      </c>
      <c r="C163">
        <v>278</v>
      </c>
      <c r="D163" t="s">
        <v>285</v>
      </c>
      <c r="E163" t="s">
        <v>53</v>
      </c>
      <c r="F163" t="s">
        <v>9</v>
      </c>
      <c r="G163" t="s">
        <v>284</v>
      </c>
      <c r="H163" t="str">
        <f>+VLOOKUP(B163,[1]Hoja1!$A:$A,1,0)</f>
        <v>278</v>
      </c>
    </row>
    <row r="164" spans="1:8" x14ac:dyDescent="0.25">
      <c r="A164" t="s">
        <v>47</v>
      </c>
      <c r="B164" s="4" t="s">
        <v>1054</v>
      </c>
      <c r="C164">
        <v>21</v>
      </c>
      <c r="D164" t="s">
        <v>48</v>
      </c>
      <c r="E164" t="s">
        <v>8</v>
      </c>
      <c r="F164" t="s">
        <v>9</v>
      </c>
      <c r="G164" t="s">
        <v>873</v>
      </c>
      <c r="H164" t="str">
        <f>+VLOOKUP(B164,[1]Hoja1!$A:$A,1,0)</f>
        <v>21</v>
      </c>
    </row>
    <row r="165" spans="1:8" x14ac:dyDescent="0.25">
      <c r="A165" t="s">
        <v>873</v>
      </c>
      <c r="B165" s="4" t="s">
        <v>874</v>
      </c>
      <c r="C165" t="s">
        <v>875</v>
      </c>
      <c r="D165" t="s">
        <v>48</v>
      </c>
      <c r="E165" t="s">
        <v>8</v>
      </c>
      <c r="F165" t="s">
        <v>9</v>
      </c>
      <c r="G165" t="s">
        <v>873</v>
      </c>
      <c r="H165" t="str">
        <f>+VLOOKUP(B165,[1]Hoja1!$A:$A,1,0)</f>
        <v>A0069</v>
      </c>
    </row>
    <row r="166" spans="1:8" x14ac:dyDescent="0.25">
      <c r="A166" t="s">
        <v>371</v>
      </c>
      <c r="B166" s="4" t="s">
        <v>1061</v>
      </c>
      <c r="C166">
        <v>367</v>
      </c>
      <c r="D166" t="s">
        <v>372</v>
      </c>
      <c r="E166" t="s">
        <v>8</v>
      </c>
      <c r="F166" t="s">
        <v>9</v>
      </c>
      <c r="G166" t="str">
        <f t="shared" ref="G166:G169" si="16">A166</f>
        <v>GRUPASA</v>
      </c>
      <c r="H166" t="str">
        <f>+VLOOKUP(B166,[1]Hoja1!$A:$A,1,0)</f>
        <v>367</v>
      </c>
    </row>
    <row r="167" spans="1:8" x14ac:dyDescent="0.25">
      <c r="A167" t="s">
        <v>263</v>
      </c>
      <c r="B167" s="4" t="s">
        <v>1247</v>
      </c>
      <c r="C167">
        <v>245</v>
      </c>
      <c r="D167" t="s">
        <v>264</v>
      </c>
      <c r="E167" t="s">
        <v>8</v>
      </c>
      <c r="F167" t="s">
        <v>9</v>
      </c>
      <c r="G167" t="str">
        <f t="shared" si="16"/>
        <v>TIA FLOR DE BASTION</v>
      </c>
      <c r="H167" t="str">
        <f>+VLOOKUP(B167,[1]Hoja1!$A:$A,1,0)</f>
        <v>245</v>
      </c>
    </row>
    <row r="168" spans="1:8" x14ac:dyDescent="0.25">
      <c r="A168" t="s">
        <v>478</v>
      </c>
      <c r="B168" s="4" t="s">
        <v>1038</v>
      </c>
      <c r="C168">
        <v>444</v>
      </c>
      <c r="D168" t="s">
        <v>479</v>
      </c>
      <c r="E168" t="s">
        <v>8</v>
      </c>
      <c r="F168" t="s">
        <v>9</v>
      </c>
      <c r="G168" t="str">
        <f t="shared" si="16"/>
        <v>DIPOR VIA A DAULE</v>
      </c>
      <c r="H168" t="str">
        <f>+VLOOKUP(B168,[1]Hoja1!$A:$A,1,0)</f>
        <v>444</v>
      </c>
    </row>
    <row r="169" spans="1:8" x14ac:dyDescent="0.25">
      <c r="A169" t="s">
        <v>373</v>
      </c>
      <c r="B169" s="4" t="s">
        <v>1164</v>
      </c>
      <c r="C169">
        <v>368</v>
      </c>
      <c r="D169" t="s">
        <v>374</v>
      </c>
      <c r="E169" t="s">
        <v>8</v>
      </c>
      <c r="F169" t="s">
        <v>9</v>
      </c>
      <c r="G169" t="str">
        <f t="shared" si="16"/>
        <v>PAPELESA</v>
      </c>
      <c r="H169" t="str">
        <f>+VLOOKUP(B169,[1]Hoja1!$A:$A,1,0)</f>
        <v>368</v>
      </c>
    </row>
    <row r="170" spans="1:8" x14ac:dyDescent="0.25">
      <c r="A170" t="s">
        <v>842</v>
      </c>
      <c r="B170" s="4" t="s">
        <v>843</v>
      </c>
      <c r="C170" t="s">
        <v>844</v>
      </c>
      <c r="D170" t="s">
        <v>390</v>
      </c>
      <c r="E170" t="s">
        <v>8</v>
      </c>
      <c r="F170" t="s">
        <v>9</v>
      </c>
      <c r="G170" t="s">
        <v>842</v>
      </c>
      <c r="H170" t="str">
        <f>+VLOOKUP(B170,[1]Hoja1!$A:$A,1,0)</f>
        <v>A0059</v>
      </c>
    </row>
    <row r="171" spans="1:8" x14ac:dyDescent="0.25">
      <c r="A171" t="s">
        <v>389</v>
      </c>
      <c r="B171" s="4" t="s">
        <v>1093</v>
      </c>
      <c r="C171">
        <v>383</v>
      </c>
      <c r="D171" t="s">
        <v>390</v>
      </c>
      <c r="E171" t="s">
        <v>8</v>
      </c>
      <c r="F171" t="s">
        <v>9</v>
      </c>
      <c r="G171" t="s">
        <v>842</v>
      </c>
      <c r="H171" t="str">
        <f>+VLOOKUP(B171,[1]Hoja1!$A:$A,1,0)</f>
        <v>383</v>
      </c>
    </row>
    <row r="172" spans="1:8" x14ac:dyDescent="0.25">
      <c r="A172" t="s">
        <v>466</v>
      </c>
      <c r="B172" s="4" t="s">
        <v>1094</v>
      </c>
      <c r="C172">
        <v>432</v>
      </c>
      <c r="D172" t="s">
        <v>390</v>
      </c>
      <c r="E172" t="s">
        <v>8</v>
      </c>
      <c r="F172" t="s">
        <v>9</v>
      </c>
      <c r="G172" t="s">
        <v>842</v>
      </c>
      <c r="H172" t="str">
        <f>+VLOOKUP(B172,[1]Hoja1!$A:$A,1,0)</f>
        <v>432</v>
      </c>
    </row>
    <row r="173" spans="1:8" x14ac:dyDescent="0.25">
      <c r="A173" t="s">
        <v>785</v>
      </c>
      <c r="B173" s="4" t="s">
        <v>786</v>
      </c>
      <c r="C173" t="s">
        <v>787</v>
      </c>
      <c r="D173" t="s">
        <v>407</v>
      </c>
      <c r="E173" t="s">
        <v>8</v>
      </c>
      <c r="F173" t="s">
        <v>9</v>
      </c>
      <c r="G173" t="s">
        <v>785</v>
      </c>
      <c r="H173" t="str">
        <f>+VLOOKUP(B173,[1]Hoja1!$A:$A,1,0)</f>
        <v>A0040</v>
      </c>
    </row>
    <row r="174" spans="1:8" x14ac:dyDescent="0.25">
      <c r="A174" t="s">
        <v>406</v>
      </c>
      <c r="B174" s="4" t="s">
        <v>982</v>
      </c>
      <c r="C174">
        <v>395</v>
      </c>
      <c r="D174" t="s">
        <v>407</v>
      </c>
      <c r="E174" t="s">
        <v>8</v>
      </c>
      <c r="F174" t="s">
        <v>9</v>
      </c>
      <c r="G174" t="s">
        <v>785</v>
      </c>
      <c r="H174" t="str">
        <f>+VLOOKUP(B174,[1]Hoja1!$A:$A,1,0)</f>
        <v>395</v>
      </c>
    </row>
    <row r="175" spans="1:8" x14ac:dyDescent="0.25">
      <c r="A175" t="s">
        <v>317</v>
      </c>
      <c r="B175" s="4" t="s">
        <v>1157</v>
      </c>
      <c r="C175">
        <v>312</v>
      </c>
      <c r="D175" t="s">
        <v>318</v>
      </c>
      <c r="E175" t="s">
        <v>53</v>
      </c>
      <c r="F175" t="s">
        <v>9</v>
      </c>
      <c r="G175" t="s">
        <v>751</v>
      </c>
      <c r="H175" t="str">
        <f>+VLOOKUP(B175,[1]Hoja1!$A:$A,1,0)</f>
        <v>312</v>
      </c>
    </row>
    <row r="176" spans="1:8" x14ac:dyDescent="0.25">
      <c r="A176" t="s">
        <v>751</v>
      </c>
      <c r="B176" s="4" t="s">
        <v>752</v>
      </c>
      <c r="C176" t="s">
        <v>753</v>
      </c>
      <c r="D176" t="s">
        <v>318</v>
      </c>
      <c r="E176" t="s">
        <v>53</v>
      </c>
      <c r="F176" t="s">
        <v>9</v>
      </c>
      <c r="G176" t="s">
        <v>751</v>
      </c>
      <c r="H176" t="str">
        <f>+VLOOKUP(B176,[1]Hoja1!$A:$A,1,0)</f>
        <v>A0029</v>
      </c>
    </row>
    <row r="177" spans="1:8" x14ac:dyDescent="0.25">
      <c r="A177" t="s">
        <v>319</v>
      </c>
      <c r="B177" s="4" t="s">
        <v>1219</v>
      </c>
      <c r="C177">
        <v>314</v>
      </c>
      <c r="D177" t="s">
        <v>318</v>
      </c>
      <c r="E177" t="s">
        <v>53</v>
      </c>
      <c r="F177" t="s">
        <v>9</v>
      </c>
      <c r="G177" t="s">
        <v>751</v>
      </c>
      <c r="H177" t="str">
        <f>+VLOOKUP(B177,[1]Hoja1!$A:$A,1,0)</f>
        <v>314</v>
      </c>
    </row>
    <row r="178" spans="1:8" x14ac:dyDescent="0.25">
      <c r="A178" t="s">
        <v>332</v>
      </c>
      <c r="B178" s="4" t="s">
        <v>1176</v>
      </c>
      <c r="C178">
        <v>326</v>
      </c>
      <c r="D178" t="s">
        <v>333</v>
      </c>
      <c r="E178" t="s">
        <v>8</v>
      </c>
      <c r="F178" t="s">
        <v>9</v>
      </c>
      <c r="G178" t="str">
        <f t="shared" ref="G178:G183" si="17">A178</f>
        <v>PLAZA PYCCA</v>
      </c>
      <c r="H178" t="str">
        <f>+VLOOKUP(B178,[1]Hoja1!$A:$A,1,0)</f>
        <v>326</v>
      </c>
    </row>
    <row r="179" spans="1:8" x14ac:dyDescent="0.25">
      <c r="A179" t="s">
        <v>638</v>
      </c>
      <c r="B179" s="4" t="s">
        <v>1170</v>
      </c>
      <c r="C179">
        <v>549</v>
      </c>
      <c r="D179" t="s">
        <v>639</v>
      </c>
      <c r="E179" t="s">
        <v>8</v>
      </c>
      <c r="F179" t="s">
        <v>9</v>
      </c>
      <c r="G179" t="str">
        <f t="shared" si="17"/>
        <v>PLANTA PICA</v>
      </c>
      <c r="H179" t="str">
        <f>+VLOOKUP(B179,[1]Hoja1!$A:$A,1,0)</f>
        <v>549</v>
      </c>
    </row>
    <row r="180" spans="1:8" x14ac:dyDescent="0.25">
      <c r="A180" t="s">
        <v>267</v>
      </c>
      <c r="B180" s="4" t="s">
        <v>990</v>
      </c>
      <c r="C180">
        <v>249</v>
      </c>
      <c r="D180" t="s">
        <v>268</v>
      </c>
      <c r="E180" t="s">
        <v>8</v>
      </c>
      <c r="F180" t="s">
        <v>9</v>
      </c>
      <c r="G180" t="str">
        <f t="shared" si="17"/>
        <v>AVICOLA FERNANDEZ , AV. ISI</v>
      </c>
      <c r="H180" t="str">
        <f>+VLOOKUP(B180,[1]Hoja1!$A:$A,1,0)</f>
        <v>249</v>
      </c>
    </row>
    <row r="181" spans="1:8" x14ac:dyDescent="0.25">
      <c r="A181" t="s">
        <v>360</v>
      </c>
      <c r="B181" s="4" t="s">
        <v>1058</v>
      </c>
      <c r="C181">
        <v>352</v>
      </c>
      <c r="D181" t="s">
        <v>361</v>
      </c>
      <c r="E181" t="s">
        <v>8</v>
      </c>
      <c r="F181" t="s">
        <v>9</v>
      </c>
      <c r="G181" t="str">
        <f t="shared" si="17"/>
        <v>GAS. TERPEL GUAYACANES</v>
      </c>
      <c r="H181" t="str">
        <f>+VLOOKUP(B181,[1]Hoja1!$A:$A,1,0)</f>
        <v>352</v>
      </c>
    </row>
    <row r="182" spans="1:8" x14ac:dyDescent="0.25">
      <c r="A182" t="s">
        <v>561</v>
      </c>
      <c r="B182" s="4" t="s">
        <v>1171</v>
      </c>
      <c r="C182">
        <v>507</v>
      </c>
      <c r="D182" t="s">
        <v>562</v>
      </c>
      <c r="E182" t="s">
        <v>8</v>
      </c>
      <c r="F182" t="s">
        <v>9</v>
      </c>
      <c r="G182" t="str">
        <f t="shared" si="17"/>
        <v>PLASTICOS ECUATORIANOS SA</v>
      </c>
      <c r="H182" t="str">
        <f>+VLOOKUP(B182,[1]Hoja1!$A:$A,1,0)</f>
        <v>507</v>
      </c>
    </row>
    <row r="183" spans="1:8" x14ac:dyDescent="0.25">
      <c r="A183" t="s">
        <v>254</v>
      </c>
      <c r="B183" s="4" t="s">
        <v>1222</v>
      </c>
      <c r="C183">
        <v>221</v>
      </c>
      <c r="D183" t="s">
        <v>255</v>
      </c>
      <c r="E183" t="s">
        <v>8</v>
      </c>
      <c r="F183" t="s">
        <v>9</v>
      </c>
      <c r="G183" t="str">
        <f t="shared" si="17"/>
        <v>SAUCES VI</v>
      </c>
      <c r="H183" t="str">
        <f>+VLOOKUP(B183,[1]Hoja1!$A:$A,1,0)</f>
        <v>221</v>
      </c>
    </row>
    <row r="184" spans="1:8" x14ac:dyDescent="0.25">
      <c r="A184" t="s">
        <v>830</v>
      </c>
      <c r="B184" s="4" t="s">
        <v>831</v>
      </c>
      <c r="C184" t="s">
        <v>832</v>
      </c>
      <c r="D184" t="s">
        <v>144</v>
      </c>
      <c r="E184" t="s">
        <v>8</v>
      </c>
      <c r="F184" t="s">
        <v>9</v>
      </c>
      <c r="G184" t="s">
        <v>830</v>
      </c>
      <c r="H184" t="str">
        <f>+VLOOKUP(B184,[1]Hoja1!$A:$A,1,0)</f>
        <v>A0055</v>
      </c>
    </row>
    <row r="185" spans="1:8" x14ac:dyDescent="0.25">
      <c r="A185" t="s">
        <v>143</v>
      </c>
      <c r="B185" s="4" t="s">
        <v>1081</v>
      </c>
      <c r="C185">
        <v>96</v>
      </c>
      <c r="D185" t="s">
        <v>144</v>
      </c>
      <c r="E185" t="s">
        <v>8</v>
      </c>
      <c r="F185" t="s">
        <v>9</v>
      </c>
      <c r="G185" t="s">
        <v>830</v>
      </c>
      <c r="H185" t="str">
        <f>+VLOOKUP(B185,[1]Hoja1!$A:$A,1,0)</f>
        <v>96</v>
      </c>
    </row>
    <row r="186" spans="1:8" x14ac:dyDescent="0.25">
      <c r="A186" t="s">
        <v>341</v>
      </c>
      <c r="B186" s="4" t="s">
        <v>1043</v>
      </c>
      <c r="C186">
        <v>334</v>
      </c>
      <c r="D186" t="s">
        <v>342</v>
      </c>
      <c r="E186" t="s">
        <v>8</v>
      </c>
      <c r="F186" t="s">
        <v>9</v>
      </c>
      <c r="G186" t="str">
        <f t="shared" ref="G186:G187" si="18">A186</f>
        <v>FAR. CRUZ AZUL SAUCES 9</v>
      </c>
      <c r="H186" t="str">
        <f>+VLOOKUP(B186,[1]Hoja1!$A:$A,1,0)</f>
        <v>334</v>
      </c>
    </row>
    <row r="187" spans="1:8" x14ac:dyDescent="0.25">
      <c r="A187" t="s">
        <v>245</v>
      </c>
      <c r="B187" s="4" t="s">
        <v>1049</v>
      </c>
      <c r="C187">
        <v>210</v>
      </c>
      <c r="D187" t="s">
        <v>246</v>
      </c>
      <c r="E187" t="s">
        <v>8</v>
      </c>
      <c r="F187" t="s">
        <v>9</v>
      </c>
      <c r="G187" t="str">
        <f t="shared" si="18"/>
        <v>FLORIDA NORTE</v>
      </c>
      <c r="H187" t="str">
        <f>+VLOOKUP(B187,[1]Hoja1!$A:$A,1,0)</f>
        <v>210</v>
      </c>
    </row>
    <row r="188" spans="1:8" x14ac:dyDescent="0.25">
      <c r="A188" t="s">
        <v>405</v>
      </c>
      <c r="B188" s="4" t="s">
        <v>1050</v>
      </c>
      <c r="C188">
        <v>394</v>
      </c>
      <c r="D188" t="s">
        <v>246</v>
      </c>
      <c r="E188" t="s">
        <v>8</v>
      </c>
      <c r="F188" t="s">
        <v>9</v>
      </c>
      <c r="G188" t="s">
        <v>245</v>
      </c>
      <c r="H188" t="str">
        <f>+VLOOKUP(B188,[1]Hoja1!$A:$A,1,0)</f>
        <v>394</v>
      </c>
    </row>
    <row r="189" spans="1:8" x14ac:dyDescent="0.25">
      <c r="A189" t="s">
        <v>733</v>
      </c>
      <c r="B189" s="4" t="s">
        <v>734</v>
      </c>
      <c r="C189" t="s">
        <v>735</v>
      </c>
      <c r="D189" t="s">
        <v>106</v>
      </c>
      <c r="E189" t="s">
        <v>107</v>
      </c>
      <c r="F189" t="s">
        <v>9</v>
      </c>
      <c r="G189" t="s">
        <v>733</v>
      </c>
      <c r="H189" t="str">
        <f>+VLOOKUP(B189,[1]Hoja1!$A:$A,1,0)</f>
        <v>A0022</v>
      </c>
    </row>
    <row r="190" spans="1:8" x14ac:dyDescent="0.25">
      <c r="A190" t="s">
        <v>105</v>
      </c>
      <c r="B190" s="4" t="s">
        <v>1150</v>
      </c>
      <c r="C190">
        <v>63</v>
      </c>
      <c r="D190" t="s">
        <v>106</v>
      </c>
      <c r="E190" t="s">
        <v>107</v>
      </c>
      <c r="F190" t="s">
        <v>9</v>
      </c>
      <c r="G190" t="s">
        <v>733</v>
      </c>
      <c r="H190" t="str">
        <f>+VLOOKUP(B190,[1]Hoja1!$A:$A,1,0)</f>
        <v>63</v>
      </c>
    </row>
    <row r="191" spans="1:8" x14ac:dyDescent="0.25">
      <c r="A191" t="s">
        <v>367</v>
      </c>
      <c r="B191" s="4" t="s">
        <v>1151</v>
      </c>
      <c r="C191">
        <v>360</v>
      </c>
      <c r="D191" t="s">
        <v>106</v>
      </c>
      <c r="E191" t="s">
        <v>107</v>
      </c>
      <c r="F191" t="s">
        <v>9</v>
      </c>
      <c r="G191" t="s">
        <v>733</v>
      </c>
      <c r="H191" t="str">
        <f>+VLOOKUP(B191,[1]Hoja1!$A:$A,1,0)</f>
        <v>360</v>
      </c>
    </row>
    <row r="192" spans="1:8" x14ac:dyDescent="0.25">
      <c r="A192" t="s">
        <v>586</v>
      </c>
      <c r="B192" s="4" t="s">
        <v>1103</v>
      </c>
      <c r="C192">
        <v>521</v>
      </c>
      <c r="D192" t="s">
        <v>587</v>
      </c>
      <c r="E192" t="s">
        <v>53</v>
      </c>
      <c r="F192" t="s">
        <v>9</v>
      </c>
      <c r="G192" t="str">
        <f t="shared" ref="G192:G196" si="19">A192</f>
        <v>MODERNA PLAZA</v>
      </c>
      <c r="H192" t="str">
        <f>+VLOOKUP(B192,[1]Hoja1!$A:$A,1,0)</f>
        <v>521</v>
      </c>
    </row>
    <row r="193" spans="1:8" x14ac:dyDescent="0.25">
      <c r="A193" t="s">
        <v>301</v>
      </c>
      <c r="B193" s="4" t="s">
        <v>1007</v>
      </c>
      <c r="C193">
        <v>294</v>
      </c>
      <c r="D193" t="s">
        <v>302</v>
      </c>
      <c r="E193" t="s">
        <v>53</v>
      </c>
      <c r="F193" t="s">
        <v>9</v>
      </c>
      <c r="G193" t="str">
        <f t="shared" si="19"/>
        <v>C.C. PLAZA NOVA KM. 2.5 VIA</v>
      </c>
      <c r="H193" t="str">
        <f>+VLOOKUP(B193,[1]Hoja1!$A:$A,1,0)</f>
        <v>294</v>
      </c>
    </row>
    <row r="194" spans="1:8" x14ac:dyDescent="0.25">
      <c r="A194" t="s">
        <v>487</v>
      </c>
      <c r="B194" s="4" t="s">
        <v>1032</v>
      </c>
      <c r="C194">
        <v>448</v>
      </c>
      <c r="D194" t="s">
        <v>488</v>
      </c>
      <c r="E194" t="s">
        <v>8</v>
      </c>
      <c r="F194" t="s">
        <v>9</v>
      </c>
      <c r="G194" t="str">
        <f t="shared" si="19"/>
        <v>COMISARIATO LA FLORIDA</v>
      </c>
      <c r="H194" t="str">
        <f>+VLOOKUP(B194,[1]Hoja1!$A:$A,1,0)</f>
        <v>448</v>
      </c>
    </row>
    <row r="195" spans="1:8" x14ac:dyDescent="0.25">
      <c r="A195" t="s">
        <v>476</v>
      </c>
      <c r="B195" s="4" t="s">
        <v>973</v>
      </c>
      <c r="C195">
        <v>443</v>
      </c>
      <c r="D195" t="s">
        <v>477</v>
      </c>
      <c r="E195" t="s">
        <v>53</v>
      </c>
      <c r="F195" t="s">
        <v>9</v>
      </c>
      <c r="G195" t="str">
        <f t="shared" si="19"/>
        <v>ALHAMBRA SHOPPING</v>
      </c>
      <c r="H195" t="str">
        <f>+VLOOKUP(B195,[1]Hoja1!$A:$A,1,0)</f>
        <v>443</v>
      </c>
    </row>
    <row r="196" spans="1:8" x14ac:dyDescent="0.25">
      <c r="A196" t="s">
        <v>349</v>
      </c>
      <c r="B196" s="4" t="s">
        <v>1238</v>
      </c>
      <c r="C196">
        <v>346</v>
      </c>
      <c r="D196" t="s">
        <v>350</v>
      </c>
      <c r="E196" t="s">
        <v>8</v>
      </c>
      <c r="F196" t="s">
        <v>9</v>
      </c>
      <c r="G196" t="str">
        <f t="shared" si="19"/>
        <v>TIA ALAMOS</v>
      </c>
      <c r="H196" t="str">
        <f>+VLOOKUP(B196,[1]Hoja1!$A:$A,1,0)</f>
        <v>346</v>
      </c>
    </row>
    <row r="197" spans="1:8" x14ac:dyDescent="0.25">
      <c r="A197" t="s">
        <v>809</v>
      </c>
      <c r="B197" s="4" t="s">
        <v>810</v>
      </c>
      <c r="C197" t="s">
        <v>811</v>
      </c>
      <c r="D197" t="s">
        <v>812</v>
      </c>
      <c r="E197" t="s">
        <v>53</v>
      </c>
      <c r="F197" t="s">
        <v>9</v>
      </c>
      <c r="G197" t="s">
        <v>809</v>
      </c>
      <c r="H197" t="str">
        <f>+VLOOKUP(B197,[1]Hoja1!$A:$A,1,0)</f>
        <v>A0048</v>
      </c>
    </row>
    <row r="198" spans="1:8" x14ac:dyDescent="0.25">
      <c r="A198" t="s">
        <v>480</v>
      </c>
      <c r="B198" s="4" t="s">
        <v>988</v>
      </c>
      <c r="C198">
        <v>445</v>
      </c>
      <c r="D198" t="s">
        <v>481</v>
      </c>
      <c r="E198" t="s">
        <v>53</v>
      </c>
      <c r="F198" t="s">
        <v>9</v>
      </c>
      <c r="G198" t="str">
        <f>A198</f>
        <v>ATM UEES</v>
      </c>
      <c r="H198" t="str">
        <f>+VLOOKUP(B198,[1]Hoja1!$A:$A,1,0)</f>
        <v>445</v>
      </c>
    </row>
    <row r="199" spans="1:8" x14ac:dyDescent="0.25">
      <c r="A199" t="s">
        <v>675</v>
      </c>
      <c r="B199" s="4" t="s">
        <v>676</v>
      </c>
      <c r="C199" t="s">
        <v>677</v>
      </c>
      <c r="D199" t="s">
        <v>218</v>
      </c>
      <c r="E199" t="s">
        <v>8</v>
      </c>
      <c r="F199" t="s">
        <v>9</v>
      </c>
      <c r="G199" t="s">
        <v>675</v>
      </c>
      <c r="H199" t="str">
        <f>+VLOOKUP(B199,[1]Hoja1!$A:$A,1,0)</f>
        <v>A0003</v>
      </c>
    </row>
    <row r="200" spans="1:8" x14ac:dyDescent="0.25">
      <c r="A200" t="s">
        <v>217</v>
      </c>
      <c r="B200" s="4" t="s">
        <v>1114</v>
      </c>
      <c r="C200">
        <v>165</v>
      </c>
      <c r="D200" t="s">
        <v>218</v>
      </c>
      <c r="E200" t="s">
        <v>8</v>
      </c>
      <c r="F200" t="s">
        <v>9</v>
      </c>
      <c r="G200" t="s">
        <v>675</v>
      </c>
      <c r="H200" t="str">
        <f>+VLOOKUP(B200,[1]Hoja1!$A:$A,1,0)</f>
        <v>165</v>
      </c>
    </row>
    <row r="201" spans="1:8" x14ac:dyDescent="0.25">
      <c r="A201" t="s">
        <v>219</v>
      </c>
      <c r="B201" s="4" t="s">
        <v>1115</v>
      </c>
      <c r="C201">
        <v>166</v>
      </c>
      <c r="D201" t="s">
        <v>218</v>
      </c>
      <c r="E201" t="s">
        <v>8</v>
      </c>
      <c r="F201" t="s">
        <v>9</v>
      </c>
      <c r="G201" t="s">
        <v>675</v>
      </c>
      <c r="H201" t="str">
        <f>+VLOOKUP(B201,[1]Hoja1!$A:$A,1,0)</f>
        <v>166</v>
      </c>
    </row>
    <row r="202" spans="1:8" x14ac:dyDescent="0.25">
      <c r="A202" t="s">
        <v>150</v>
      </c>
      <c r="B202" s="4" t="s">
        <v>1004</v>
      </c>
      <c r="C202">
        <v>102</v>
      </c>
      <c r="D202" t="s">
        <v>151</v>
      </c>
      <c r="E202" t="s">
        <v>107</v>
      </c>
      <c r="F202" t="s">
        <v>9</v>
      </c>
      <c r="G202" t="str">
        <f t="shared" ref="G202:G209" si="20">A202</f>
        <v>C.C. PASEO MILAGRO PATIO DE</v>
      </c>
      <c r="H202" t="str">
        <f>+VLOOKUP(B202,[1]Hoja1!$A:$A,1,0)</f>
        <v>102</v>
      </c>
    </row>
    <row r="203" spans="1:8" x14ac:dyDescent="0.25">
      <c r="A203" t="s">
        <v>579</v>
      </c>
      <c r="B203" s="4" t="s">
        <v>1221</v>
      </c>
      <c r="C203">
        <v>517</v>
      </c>
      <c r="D203" t="s">
        <v>580</v>
      </c>
      <c r="E203" t="s">
        <v>8</v>
      </c>
      <c r="F203" t="s">
        <v>9</v>
      </c>
      <c r="G203" t="str">
        <f t="shared" si="20"/>
        <v>SAUCES 2</v>
      </c>
      <c r="H203" t="str">
        <f>+VLOOKUP(B203,[1]Hoja1!$A:$A,1,0)</f>
        <v>517</v>
      </c>
    </row>
    <row r="204" spans="1:8" x14ac:dyDescent="0.25">
      <c r="A204" t="s">
        <v>124</v>
      </c>
      <c r="B204" s="4" t="s">
        <v>997</v>
      </c>
      <c r="C204">
        <v>78</v>
      </c>
      <c r="D204" t="s">
        <v>125</v>
      </c>
      <c r="E204" t="s">
        <v>8</v>
      </c>
      <c r="F204" t="s">
        <v>9</v>
      </c>
      <c r="G204" t="str">
        <f t="shared" si="20"/>
        <v>C.C. LA ROTONDA OF.</v>
      </c>
      <c r="H204" t="str">
        <f>+VLOOKUP(B204,[1]Hoja1!$A:$A,1,0)</f>
        <v>78</v>
      </c>
    </row>
    <row r="205" spans="1:8" x14ac:dyDescent="0.25">
      <c r="A205" t="s">
        <v>182</v>
      </c>
      <c r="B205" s="4" t="s">
        <v>1239</v>
      </c>
      <c r="C205">
        <v>141</v>
      </c>
      <c r="D205" t="s">
        <v>183</v>
      </c>
      <c r="E205" t="s">
        <v>8</v>
      </c>
      <c r="F205" t="s">
        <v>9</v>
      </c>
      <c r="G205" t="str">
        <f t="shared" si="20"/>
        <v>TIA ALBORADA</v>
      </c>
      <c r="H205" t="str">
        <f>+VLOOKUP(B205,[1]Hoja1!$A:$A,1,0)</f>
        <v>141</v>
      </c>
    </row>
    <row r="206" spans="1:8" x14ac:dyDescent="0.25">
      <c r="A206" t="s">
        <v>311</v>
      </c>
      <c r="B206" s="4" t="s">
        <v>1197</v>
      </c>
      <c r="C206">
        <v>300</v>
      </c>
      <c r="D206" t="s">
        <v>312</v>
      </c>
      <c r="E206" t="s">
        <v>8</v>
      </c>
      <c r="F206" t="s">
        <v>9</v>
      </c>
      <c r="G206" t="str">
        <f t="shared" si="20"/>
        <v>PRIMAX J.T.M AV. DEL SANTU</v>
      </c>
      <c r="H206" t="str">
        <f>+VLOOKUP(B206,[1]Hoja1!$A:$A,1,0)</f>
        <v>300</v>
      </c>
    </row>
    <row r="207" spans="1:8" x14ac:dyDescent="0.25">
      <c r="A207" t="s">
        <v>209</v>
      </c>
      <c r="B207" s="4" t="s">
        <v>1056</v>
      </c>
      <c r="C207">
        <v>159</v>
      </c>
      <c r="D207" t="s">
        <v>210</v>
      </c>
      <c r="E207" t="s">
        <v>211</v>
      </c>
      <c r="F207" t="s">
        <v>89</v>
      </c>
      <c r="G207" t="str">
        <f t="shared" si="20"/>
        <v>GAS. PETROLEOS Y SERVICIOS</v>
      </c>
      <c r="H207" t="str">
        <f>+VLOOKUP(B207,[1]Hoja1!$A:$A,1,0)</f>
        <v>159</v>
      </c>
    </row>
    <row r="208" spans="1:8" x14ac:dyDescent="0.25">
      <c r="A208" t="s">
        <v>510</v>
      </c>
      <c r="B208" s="4" t="s">
        <v>1280</v>
      </c>
      <c r="C208">
        <v>461</v>
      </c>
      <c r="D208" t="s">
        <v>511</v>
      </c>
      <c r="E208" t="s">
        <v>53</v>
      </c>
      <c r="F208" t="s">
        <v>9</v>
      </c>
      <c r="G208" t="str">
        <f t="shared" si="20"/>
        <v>VILLAGE PLAZA</v>
      </c>
      <c r="H208" t="str">
        <f>+VLOOKUP(B208,[1]Hoja1!$A:$A,1,0)</f>
        <v>461</v>
      </c>
    </row>
    <row r="209" spans="1:8" x14ac:dyDescent="0.25">
      <c r="A209" t="s">
        <v>58</v>
      </c>
      <c r="B209" s="4" t="s">
        <v>1011</v>
      </c>
      <c r="C209">
        <v>30</v>
      </c>
      <c r="D209" t="s">
        <v>59</v>
      </c>
      <c r="E209" t="s">
        <v>53</v>
      </c>
      <c r="F209" t="s">
        <v>9</v>
      </c>
      <c r="G209" t="str">
        <f t="shared" si="20"/>
        <v>C.C. RIOCENTRO ENTRE RIOS</v>
      </c>
      <c r="H209" t="str">
        <f>+VLOOKUP(B209,[1]Hoja1!$A:$A,1,0)</f>
        <v>30</v>
      </c>
    </row>
    <row r="210" spans="1:8" x14ac:dyDescent="0.25">
      <c r="A210" t="s">
        <v>444</v>
      </c>
      <c r="B210" s="4" t="s">
        <v>1106</v>
      </c>
      <c r="C210">
        <v>417</v>
      </c>
      <c r="D210" t="s">
        <v>59</v>
      </c>
      <c r="E210" t="s">
        <v>53</v>
      </c>
      <c r="F210" t="s">
        <v>9</v>
      </c>
      <c r="G210" t="s">
        <v>1283</v>
      </c>
      <c r="H210" t="str">
        <f>+VLOOKUP(B210,[1]Hoja1!$A:$A,1,0)</f>
        <v>417</v>
      </c>
    </row>
    <row r="211" spans="1:8" x14ac:dyDescent="0.25">
      <c r="A211" t="s">
        <v>867</v>
      </c>
      <c r="B211" s="4" t="s">
        <v>868</v>
      </c>
      <c r="C211" t="s">
        <v>869</v>
      </c>
      <c r="D211" t="s">
        <v>233</v>
      </c>
      <c r="E211" t="s">
        <v>8</v>
      </c>
      <c r="F211" t="s">
        <v>9</v>
      </c>
      <c r="G211" t="s">
        <v>867</v>
      </c>
      <c r="H211" t="str">
        <f>+VLOOKUP(B211,[1]Hoja1!$A:$A,1,0)</f>
        <v>A0067</v>
      </c>
    </row>
    <row r="212" spans="1:8" x14ac:dyDescent="0.25">
      <c r="A212" t="s">
        <v>242</v>
      </c>
      <c r="B212" s="4" t="s">
        <v>1233</v>
      </c>
      <c r="C212">
        <v>202</v>
      </c>
      <c r="D212" t="s">
        <v>233</v>
      </c>
      <c r="E212" t="s">
        <v>8</v>
      </c>
      <c r="F212" t="s">
        <v>9</v>
      </c>
      <c r="G212" t="s">
        <v>867</v>
      </c>
      <c r="H212" t="str">
        <f>+VLOOKUP(B212,[1]Hoja1!$A:$A,1,0)</f>
        <v>202</v>
      </c>
    </row>
    <row r="213" spans="1:8" x14ac:dyDescent="0.25">
      <c r="A213" t="s">
        <v>232</v>
      </c>
      <c r="B213" s="4" t="s">
        <v>1234</v>
      </c>
      <c r="C213">
        <v>193</v>
      </c>
      <c r="D213" t="s">
        <v>233</v>
      </c>
      <c r="E213" t="s">
        <v>8</v>
      </c>
      <c r="F213" t="s">
        <v>9</v>
      </c>
      <c r="G213" t="s">
        <v>867</v>
      </c>
      <c r="H213" t="str">
        <f>+VLOOKUP(B213,[1]Hoja1!$A:$A,1,0)</f>
        <v>193</v>
      </c>
    </row>
    <row r="214" spans="1:8" x14ac:dyDescent="0.25">
      <c r="A214" t="s">
        <v>370</v>
      </c>
      <c r="B214" s="4" t="s">
        <v>1235</v>
      </c>
      <c r="C214">
        <v>363</v>
      </c>
      <c r="D214" t="s">
        <v>233</v>
      </c>
      <c r="E214" t="s">
        <v>8</v>
      </c>
      <c r="F214" t="s">
        <v>9</v>
      </c>
      <c r="G214" t="s">
        <v>867</v>
      </c>
      <c r="H214" t="str">
        <f>+VLOOKUP(B214,[1]Hoja1!$A:$A,1,0)</f>
        <v>363</v>
      </c>
    </row>
    <row r="215" spans="1:8" x14ac:dyDescent="0.25">
      <c r="A215" t="s">
        <v>392</v>
      </c>
      <c r="B215" s="4" t="s">
        <v>1236</v>
      </c>
      <c r="C215">
        <v>386</v>
      </c>
      <c r="D215" t="s">
        <v>233</v>
      </c>
      <c r="E215" t="s">
        <v>8</v>
      </c>
      <c r="F215" t="s">
        <v>9</v>
      </c>
      <c r="G215" t="s">
        <v>867</v>
      </c>
      <c r="H215" t="str">
        <f>+VLOOKUP(B215,[1]Hoja1!$A:$A,1,0)</f>
        <v>386</v>
      </c>
    </row>
    <row r="216" spans="1:8" x14ac:dyDescent="0.25">
      <c r="A216" t="s">
        <v>413</v>
      </c>
      <c r="B216" s="4" t="s">
        <v>978</v>
      </c>
      <c r="C216">
        <v>398</v>
      </c>
      <c r="D216" t="s">
        <v>414</v>
      </c>
      <c r="E216" t="s">
        <v>8</v>
      </c>
      <c r="F216" t="s">
        <v>9</v>
      </c>
      <c r="G216" t="str">
        <f t="shared" ref="G216:G217" si="21">A216</f>
        <v>ATM ARCA JUAN TANCA MARENGO</v>
      </c>
      <c r="H216" t="str">
        <f>+VLOOKUP(B216,[1]Hoja1!$A:$A,1,0)</f>
        <v>398</v>
      </c>
    </row>
    <row r="217" spans="1:8" x14ac:dyDescent="0.25">
      <c r="A217" t="s">
        <v>449</v>
      </c>
      <c r="B217" s="4" t="s">
        <v>1186</v>
      </c>
      <c r="C217">
        <v>421</v>
      </c>
      <c r="D217" t="s">
        <v>450</v>
      </c>
      <c r="E217" t="s">
        <v>8</v>
      </c>
      <c r="F217" t="s">
        <v>9</v>
      </c>
      <c r="G217" t="str">
        <f t="shared" si="21"/>
        <v>PRIMAX AMERICANA</v>
      </c>
      <c r="H217" t="str">
        <f>+VLOOKUP(B217,[1]Hoja1!$A:$A,1,0)</f>
        <v>421</v>
      </c>
    </row>
    <row r="218" spans="1:8" x14ac:dyDescent="0.25">
      <c r="A218" t="s">
        <v>854</v>
      </c>
      <c r="B218" s="4" t="s">
        <v>855</v>
      </c>
      <c r="C218" t="s">
        <v>856</v>
      </c>
      <c r="D218" t="s">
        <v>857</v>
      </c>
      <c r="E218" t="s">
        <v>53</v>
      </c>
      <c r="F218" t="s">
        <v>9</v>
      </c>
      <c r="G218" t="s">
        <v>854</v>
      </c>
      <c r="H218" t="str">
        <f>+VLOOKUP(B218,[1]Hoja1!$A:$A,1,0)</f>
        <v>A0063</v>
      </c>
    </row>
    <row r="219" spans="1:8" x14ac:dyDescent="0.25">
      <c r="A219" t="s">
        <v>236</v>
      </c>
      <c r="B219" s="4" t="s">
        <v>1193</v>
      </c>
      <c r="C219">
        <v>198</v>
      </c>
      <c r="D219" t="s">
        <v>237</v>
      </c>
      <c r="E219" t="s">
        <v>53</v>
      </c>
      <c r="F219" t="s">
        <v>9</v>
      </c>
      <c r="G219" t="s">
        <v>854</v>
      </c>
      <c r="H219" t="str">
        <f>+VLOOKUP(B219,[1]Hoja1!$A:$A,1,0)</f>
        <v>198</v>
      </c>
    </row>
    <row r="220" spans="1:8" x14ac:dyDescent="0.25">
      <c r="A220" t="s">
        <v>767</v>
      </c>
      <c r="B220" s="4" t="s">
        <v>768</v>
      </c>
      <c r="C220" t="s">
        <v>769</v>
      </c>
      <c r="D220" t="s">
        <v>770</v>
      </c>
      <c r="E220" t="s">
        <v>8</v>
      </c>
      <c r="F220" t="s">
        <v>9</v>
      </c>
      <c r="G220" t="s">
        <v>767</v>
      </c>
      <c r="H220" t="str">
        <f>+VLOOKUP(B220,[1]Hoja1!$A:$A,1,0)</f>
        <v>A0035</v>
      </c>
    </row>
    <row r="221" spans="1:8" x14ac:dyDescent="0.25">
      <c r="A221" t="s">
        <v>506</v>
      </c>
      <c r="B221" s="4" t="s">
        <v>1051</v>
      </c>
      <c r="C221">
        <v>458</v>
      </c>
      <c r="D221" t="s">
        <v>507</v>
      </c>
      <c r="E221" t="s">
        <v>8</v>
      </c>
      <c r="F221" t="s">
        <v>9</v>
      </c>
      <c r="G221" t="str">
        <f t="shared" ref="G221:G223" si="22">A221</f>
        <v>GARZOCENTRO SHOPPING CENTER</v>
      </c>
      <c r="H221" t="str">
        <f>+VLOOKUP(B221,[1]Hoja1!$A:$A,1,0)</f>
        <v>458</v>
      </c>
    </row>
    <row r="222" spans="1:8" x14ac:dyDescent="0.25">
      <c r="A222" t="s">
        <v>177</v>
      </c>
      <c r="B222" s="4" t="s">
        <v>1044</v>
      </c>
      <c r="C222">
        <v>131</v>
      </c>
      <c r="D222" t="s">
        <v>178</v>
      </c>
      <c r="E222" t="s">
        <v>8</v>
      </c>
      <c r="F222" t="s">
        <v>9</v>
      </c>
      <c r="G222" t="str">
        <f t="shared" si="22"/>
        <v>FARM. CRUZ AZUL MARTHA DE R</v>
      </c>
      <c r="H222" t="str">
        <f>+VLOOKUP(B222,[1]Hoja1!$A:$A,1,0)</f>
        <v>131</v>
      </c>
    </row>
    <row r="223" spans="1:8" x14ac:dyDescent="0.25">
      <c r="A223" t="s">
        <v>523</v>
      </c>
      <c r="B223" s="4" t="s">
        <v>1100</v>
      </c>
      <c r="C223">
        <v>473</v>
      </c>
      <c r="D223" t="s">
        <v>524</v>
      </c>
      <c r="E223" t="s">
        <v>8</v>
      </c>
      <c r="F223" t="s">
        <v>9</v>
      </c>
      <c r="G223" t="str">
        <f t="shared" si="22"/>
        <v>MI COMISARIATO J.T.M.</v>
      </c>
      <c r="H223" t="str">
        <f>+VLOOKUP(B223,[1]Hoja1!$A:$A,1,0)</f>
        <v>473</v>
      </c>
    </row>
    <row r="224" spans="1:8" x14ac:dyDescent="0.25">
      <c r="A224" t="s">
        <v>959</v>
      </c>
      <c r="B224" s="4" t="s">
        <v>960</v>
      </c>
      <c r="C224" t="s">
        <v>961</v>
      </c>
      <c r="D224" t="s">
        <v>52</v>
      </c>
      <c r="E224" t="s">
        <v>53</v>
      </c>
      <c r="F224" t="s">
        <v>9</v>
      </c>
      <c r="G224" t="s">
        <v>1281</v>
      </c>
      <c r="H224" t="str">
        <f>+VLOOKUP(B224,[1]Hoja1!$A:$A,1,0)</f>
        <v>A0102</v>
      </c>
    </row>
    <row r="225" spans="1:8" x14ac:dyDescent="0.25">
      <c r="A225" t="s">
        <v>51</v>
      </c>
      <c r="B225" s="4" t="s">
        <v>1010</v>
      </c>
      <c r="C225">
        <v>23</v>
      </c>
      <c r="D225" t="s">
        <v>52</v>
      </c>
      <c r="E225" t="s">
        <v>53</v>
      </c>
      <c r="F225" t="s">
        <v>9</v>
      </c>
      <c r="G225" t="s">
        <v>1281</v>
      </c>
      <c r="H225" t="str">
        <f>+VLOOKUP(B225,[1]Hoja1!$A:$A,1,0)</f>
        <v>23</v>
      </c>
    </row>
    <row r="226" spans="1:8" x14ac:dyDescent="0.25">
      <c r="A226" t="s">
        <v>240</v>
      </c>
      <c r="B226" s="4" t="s">
        <v>1195</v>
      </c>
      <c r="C226">
        <v>200</v>
      </c>
      <c r="D226" t="s">
        <v>241</v>
      </c>
      <c r="E226" t="s">
        <v>8</v>
      </c>
      <c r="F226" t="s">
        <v>9</v>
      </c>
      <c r="G226" t="str">
        <f t="shared" ref="G226:G227" si="23">A226</f>
        <v>PRIMAX GARZOTA</v>
      </c>
      <c r="H226" t="str">
        <f>+VLOOKUP(B226,[1]Hoja1!$A:$A,1,0)</f>
        <v>200</v>
      </c>
    </row>
    <row r="227" spans="1:8" x14ac:dyDescent="0.25">
      <c r="A227" t="s">
        <v>282</v>
      </c>
      <c r="B227" s="4" t="s">
        <v>1207</v>
      </c>
      <c r="C227">
        <v>277</v>
      </c>
      <c r="D227" t="s">
        <v>283</v>
      </c>
      <c r="E227" t="s">
        <v>8</v>
      </c>
      <c r="F227" t="s">
        <v>9</v>
      </c>
      <c r="G227" t="str">
        <f t="shared" si="23"/>
        <v>PRIMAX, AV. JUAN TANCA MARE</v>
      </c>
      <c r="H227" t="str">
        <f>+VLOOKUP(B227,[1]Hoja1!$A:$A,1,0)</f>
        <v>277</v>
      </c>
    </row>
    <row r="228" spans="1:8" x14ac:dyDescent="0.25">
      <c r="A228" t="s">
        <v>672</v>
      </c>
      <c r="B228" s="4" t="s">
        <v>673</v>
      </c>
      <c r="C228" t="s">
        <v>674</v>
      </c>
      <c r="D228" t="s">
        <v>11</v>
      </c>
      <c r="E228" t="s">
        <v>8</v>
      </c>
      <c r="F228" t="s">
        <v>9</v>
      </c>
      <c r="G228" t="s">
        <v>672</v>
      </c>
      <c r="H228" t="str">
        <f>+VLOOKUP(B228,[1]Hoja1!$A:$A,1,0)</f>
        <v>A0002</v>
      </c>
    </row>
    <row r="229" spans="1:8" x14ac:dyDescent="0.25">
      <c r="A229" t="s">
        <v>10</v>
      </c>
      <c r="B229" s="4" t="s">
        <v>1113</v>
      </c>
      <c r="C229">
        <v>4</v>
      </c>
      <c r="D229" t="s">
        <v>11</v>
      </c>
      <c r="E229" t="s">
        <v>8</v>
      </c>
      <c r="F229" t="s">
        <v>9</v>
      </c>
      <c r="G229" t="s">
        <v>1284</v>
      </c>
      <c r="H229" t="str">
        <f>+VLOOKUP(B229,[1]Hoja1!$A:$A,1,0)</f>
        <v>4</v>
      </c>
    </row>
    <row r="230" spans="1:8" x14ac:dyDescent="0.25">
      <c r="A230" t="s">
        <v>84</v>
      </c>
      <c r="B230" s="4" t="s">
        <v>1116</v>
      </c>
      <c r="C230">
        <v>51</v>
      </c>
      <c r="D230" t="s">
        <v>11</v>
      </c>
      <c r="E230" t="s">
        <v>8</v>
      </c>
      <c r="F230" t="s">
        <v>9</v>
      </c>
      <c r="G230" t="s">
        <v>672</v>
      </c>
      <c r="H230" t="str">
        <f>+VLOOKUP(B230,[1]Hoja1!$A:$A,1,0)</f>
        <v>51</v>
      </c>
    </row>
    <row r="231" spans="1:8" x14ac:dyDescent="0.25">
      <c r="A231" t="s">
        <v>520</v>
      </c>
      <c r="B231" s="4" t="s">
        <v>1117</v>
      </c>
      <c r="C231">
        <v>470</v>
      </c>
      <c r="D231" t="s">
        <v>11</v>
      </c>
      <c r="E231" t="s">
        <v>8</v>
      </c>
      <c r="F231" t="s">
        <v>9</v>
      </c>
      <c r="G231" t="s">
        <v>672</v>
      </c>
      <c r="H231" t="str">
        <f>+VLOOKUP(B231,[1]Hoja1!$A:$A,1,0)</f>
        <v>470</v>
      </c>
    </row>
    <row r="232" spans="1:8" x14ac:dyDescent="0.25">
      <c r="A232" t="s">
        <v>189</v>
      </c>
      <c r="B232" s="4" t="s">
        <v>970</v>
      </c>
      <c r="C232">
        <v>145</v>
      </c>
      <c r="D232" t="s">
        <v>190</v>
      </c>
      <c r="E232" t="s">
        <v>8</v>
      </c>
      <c r="F232" t="s">
        <v>9</v>
      </c>
      <c r="G232" t="s">
        <v>816</v>
      </c>
      <c r="H232" t="str">
        <f>+VLOOKUP(B232,[1]Hoja1!$A:$A,1,0)</f>
        <v>145</v>
      </c>
    </row>
    <row r="233" spans="1:8" x14ac:dyDescent="0.25">
      <c r="A233" t="s">
        <v>816</v>
      </c>
      <c r="B233" s="4" t="s">
        <v>817</v>
      </c>
      <c r="C233" t="s">
        <v>818</v>
      </c>
      <c r="D233" t="s">
        <v>190</v>
      </c>
      <c r="E233" t="s">
        <v>8</v>
      </c>
      <c r="F233" t="s">
        <v>9</v>
      </c>
      <c r="G233" t="s">
        <v>816</v>
      </c>
      <c r="H233" t="str">
        <f>+VLOOKUP(B233,[1]Hoja1!$A:$A,1,0)</f>
        <v>A0050</v>
      </c>
    </row>
    <row r="234" spans="1:8" x14ac:dyDescent="0.25">
      <c r="A234" t="s">
        <v>358</v>
      </c>
      <c r="B234" s="4" t="s">
        <v>983</v>
      </c>
      <c r="C234">
        <v>351</v>
      </c>
      <c r="D234" t="s">
        <v>359</v>
      </c>
      <c r="E234" t="s">
        <v>8</v>
      </c>
      <c r="F234" t="s">
        <v>9</v>
      </c>
      <c r="G234" t="s">
        <v>821</v>
      </c>
      <c r="H234" t="str">
        <f>+VLOOKUP(B234,[1]Hoja1!$A:$A,1,0)</f>
        <v>351</v>
      </c>
    </row>
    <row r="235" spans="1:8" x14ac:dyDescent="0.25">
      <c r="A235" t="s">
        <v>821</v>
      </c>
      <c r="B235" s="4" t="s">
        <v>822</v>
      </c>
      <c r="C235" t="s">
        <v>823</v>
      </c>
      <c r="D235" t="s">
        <v>359</v>
      </c>
      <c r="E235" t="s">
        <v>8</v>
      </c>
      <c r="F235" t="s">
        <v>9</v>
      </c>
      <c r="G235" t="s">
        <v>821</v>
      </c>
      <c r="H235" t="str">
        <f>+VLOOKUP(B235,[1]Hoja1!$A:$A,1,0)</f>
        <v>A0052</v>
      </c>
    </row>
    <row r="236" spans="1:8" x14ac:dyDescent="0.25">
      <c r="A236" t="s">
        <v>294</v>
      </c>
      <c r="B236" s="4" t="s">
        <v>969</v>
      </c>
      <c r="C236">
        <v>291</v>
      </c>
      <c r="D236" t="s">
        <v>295</v>
      </c>
      <c r="E236" t="s">
        <v>8</v>
      </c>
      <c r="F236" t="s">
        <v>9</v>
      </c>
      <c r="G236" t="s">
        <v>813</v>
      </c>
      <c r="H236" t="str">
        <f>+VLOOKUP(B236,[1]Hoja1!$A:$A,1,0)</f>
        <v>291</v>
      </c>
    </row>
    <row r="237" spans="1:8" x14ac:dyDescent="0.25">
      <c r="A237" t="s">
        <v>813</v>
      </c>
      <c r="B237" s="4" t="s">
        <v>814</v>
      </c>
      <c r="C237" t="s">
        <v>815</v>
      </c>
      <c r="D237" t="s">
        <v>295</v>
      </c>
      <c r="E237" t="s">
        <v>8</v>
      </c>
      <c r="F237" t="s">
        <v>9</v>
      </c>
      <c r="G237" t="s">
        <v>813</v>
      </c>
      <c r="H237" t="str">
        <f>+VLOOKUP(B237,[1]Hoja1!$A:$A,1,0)</f>
        <v>A0049</v>
      </c>
    </row>
    <row r="238" spans="1:8" x14ac:dyDescent="0.25">
      <c r="A238" t="s">
        <v>324</v>
      </c>
      <c r="B238" s="4" t="s">
        <v>1021</v>
      </c>
      <c r="C238">
        <v>321</v>
      </c>
      <c r="D238" t="s">
        <v>325</v>
      </c>
      <c r="E238" t="s">
        <v>8</v>
      </c>
      <c r="F238" t="s">
        <v>9</v>
      </c>
      <c r="G238" t="str">
        <f>A238</f>
        <v>CC MALL DEL SOL</v>
      </c>
      <c r="H238" t="str">
        <f>+VLOOKUP(B238,[1]Hoja1!$A:$A,1,0)</f>
        <v>321</v>
      </c>
    </row>
    <row r="239" spans="1:8" x14ac:dyDescent="0.25">
      <c r="A239" t="s">
        <v>334</v>
      </c>
      <c r="B239" s="4" t="s">
        <v>1022</v>
      </c>
      <c r="C239">
        <v>329</v>
      </c>
      <c r="D239" t="s">
        <v>335</v>
      </c>
      <c r="E239" t="s">
        <v>8</v>
      </c>
      <c r="F239" t="s">
        <v>9</v>
      </c>
      <c r="G239" t="s">
        <v>717</v>
      </c>
      <c r="H239" t="str">
        <f>+VLOOKUP(B239,[1]Hoja1!$A:$A,1,0)</f>
        <v>329</v>
      </c>
    </row>
    <row r="240" spans="1:8" x14ac:dyDescent="0.25">
      <c r="A240" t="s">
        <v>336</v>
      </c>
      <c r="B240" s="4" t="s">
        <v>1023</v>
      </c>
      <c r="C240">
        <v>330</v>
      </c>
      <c r="D240" t="s">
        <v>335</v>
      </c>
      <c r="E240" t="s">
        <v>8</v>
      </c>
      <c r="F240" t="s">
        <v>9</v>
      </c>
      <c r="G240" t="s">
        <v>717</v>
      </c>
      <c r="H240" t="str">
        <f>+VLOOKUP(B240,[1]Hoja1!$A:$A,1,0)</f>
        <v>330</v>
      </c>
    </row>
    <row r="241" spans="1:8" x14ac:dyDescent="0.25">
      <c r="A241" t="s">
        <v>717</v>
      </c>
      <c r="B241" s="4" t="s">
        <v>718</v>
      </c>
      <c r="C241" t="s">
        <v>719</v>
      </c>
      <c r="D241" t="s">
        <v>335</v>
      </c>
      <c r="E241" t="s">
        <v>8</v>
      </c>
      <c r="F241" t="s">
        <v>9</v>
      </c>
      <c r="G241" t="s">
        <v>717</v>
      </c>
      <c r="H241" t="str">
        <f>+VLOOKUP(B241,[1]Hoja1!$A:$A,1,0)</f>
        <v>A0017</v>
      </c>
    </row>
    <row r="242" spans="1:8" x14ac:dyDescent="0.25">
      <c r="A242" t="s">
        <v>249</v>
      </c>
      <c r="B242" s="4" t="s">
        <v>1096</v>
      </c>
      <c r="C242">
        <v>216</v>
      </c>
      <c r="D242" t="s">
        <v>250</v>
      </c>
      <c r="E242" t="s">
        <v>8</v>
      </c>
      <c r="F242" t="s">
        <v>9</v>
      </c>
      <c r="G242" t="str">
        <f t="shared" ref="G242:G245" si="24">A242</f>
        <v>MAPASINGUE OESTE</v>
      </c>
      <c r="H242" t="str">
        <f>+VLOOKUP(B242,[1]Hoja1!$A:$A,1,0)</f>
        <v>216</v>
      </c>
    </row>
    <row r="243" spans="1:8" x14ac:dyDescent="0.25">
      <c r="A243" t="s">
        <v>187</v>
      </c>
      <c r="B243" s="4" t="s">
        <v>1253</v>
      </c>
      <c r="C243">
        <v>143</v>
      </c>
      <c r="D243" t="s">
        <v>188</v>
      </c>
      <c r="E243" t="s">
        <v>8</v>
      </c>
      <c r="F243" t="s">
        <v>9</v>
      </c>
      <c r="G243" t="str">
        <f t="shared" si="24"/>
        <v>TIA MAPASINGUE</v>
      </c>
      <c r="H243" t="str">
        <f>+VLOOKUP(B243,[1]Hoja1!$A:$A,1,0)</f>
        <v>143</v>
      </c>
    </row>
    <row r="244" spans="1:8" x14ac:dyDescent="0.25">
      <c r="A244" t="s">
        <v>158</v>
      </c>
      <c r="B244" s="4" t="s">
        <v>1082</v>
      </c>
      <c r="C244">
        <v>106</v>
      </c>
      <c r="D244" t="s">
        <v>159</v>
      </c>
      <c r="E244" t="s">
        <v>8</v>
      </c>
      <c r="F244" t="s">
        <v>9</v>
      </c>
      <c r="G244" t="str">
        <f t="shared" si="24"/>
        <v>HYPERMARKET VIA DAULE</v>
      </c>
      <c r="H244" t="str">
        <f>+VLOOKUP(B244,[1]Hoja1!$A:$A,1,0)</f>
        <v>106</v>
      </c>
    </row>
    <row r="245" spans="1:8" x14ac:dyDescent="0.25">
      <c r="A245" t="s">
        <v>496</v>
      </c>
      <c r="B245" s="4" t="s">
        <v>1019</v>
      </c>
      <c r="C245">
        <v>453</v>
      </c>
      <c r="D245" t="s">
        <v>497</v>
      </c>
      <c r="E245" t="s">
        <v>8</v>
      </c>
      <c r="F245" t="s">
        <v>9</v>
      </c>
      <c r="G245" t="str">
        <f t="shared" si="24"/>
        <v>C.CONVENCION LISTO</v>
      </c>
      <c r="H245" t="str">
        <f>+VLOOKUP(B245,[1]Hoja1!$A:$A,1,0)</f>
        <v>453</v>
      </c>
    </row>
    <row r="246" spans="1:8" x14ac:dyDescent="0.25">
      <c r="A246" t="s">
        <v>788</v>
      </c>
      <c r="B246" s="4" t="s">
        <v>789</v>
      </c>
      <c r="C246" t="s">
        <v>790</v>
      </c>
      <c r="D246" t="s">
        <v>791</v>
      </c>
      <c r="E246" t="s">
        <v>8</v>
      </c>
      <c r="F246" t="s">
        <v>9</v>
      </c>
      <c r="G246" t="s">
        <v>788</v>
      </c>
      <c r="H246" t="str">
        <f>+VLOOKUP(B246,[1]Hoja1!$A:$A,1,0)</f>
        <v>A0041</v>
      </c>
    </row>
    <row r="247" spans="1:8" x14ac:dyDescent="0.25">
      <c r="A247" t="s">
        <v>337</v>
      </c>
      <c r="B247" s="4" t="s">
        <v>1244</v>
      </c>
      <c r="C247">
        <v>332</v>
      </c>
      <c r="D247" t="s">
        <v>338</v>
      </c>
      <c r="E247" t="s">
        <v>229</v>
      </c>
      <c r="F247" t="s">
        <v>9</v>
      </c>
      <c r="G247" t="str">
        <f t="shared" ref="G247:G252" si="25">A247</f>
        <v>TIA DURAN III</v>
      </c>
      <c r="H247" t="str">
        <f>+VLOOKUP(B247,[1]Hoja1!$A:$A,1,0)</f>
        <v>332</v>
      </c>
    </row>
    <row r="248" spans="1:8" x14ac:dyDescent="0.25">
      <c r="A248" t="s">
        <v>429</v>
      </c>
      <c r="B248" s="4" t="s">
        <v>1083</v>
      </c>
      <c r="C248">
        <v>407</v>
      </c>
      <c r="D248" t="s">
        <v>430</v>
      </c>
      <c r="E248" t="s">
        <v>8</v>
      </c>
      <c r="F248" t="s">
        <v>9</v>
      </c>
      <c r="G248" t="str">
        <f t="shared" si="25"/>
        <v>INDUAUTO</v>
      </c>
      <c r="H248" t="str">
        <f>+VLOOKUP(B248,[1]Hoja1!$A:$A,1,0)</f>
        <v>407</v>
      </c>
    </row>
    <row r="249" spans="1:8" x14ac:dyDescent="0.25">
      <c r="A249" t="s">
        <v>126</v>
      </c>
      <c r="B249" s="4" t="s">
        <v>1198</v>
      </c>
      <c r="C249">
        <v>81</v>
      </c>
      <c r="D249" t="s">
        <v>127</v>
      </c>
      <c r="E249" t="s">
        <v>8</v>
      </c>
      <c r="F249" t="s">
        <v>9</v>
      </c>
      <c r="G249" t="str">
        <f t="shared" si="25"/>
        <v>PRIMAX KENNEDY NORTE</v>
      </c>
      <c r="H249" t="str">
        <f>+VLOOKUP(B249,[1]Hoja1!$A:$A,1,0)</f>
        <v>81</v>
      </c>
    </row>
    <row r="250" spans="1:8" x14ac:dyDescent="0.25">
      <c r="A250" t="s">
        <v>521</v>
      </c>
      <c r="B250" s="4" t="s">
        <v>1076</v>
      </c>
      <c r="C250">
        <v>472</v>
      </c>
      <c r="D250" t="s">
        <v>522</v>
      </c>
      <c r="E250" t="s">
        <v>8</v>
      </c>
      <c r="F250" t="s">
        <v>9</v>
      </c>
      <c r="G250" t="str">
        <f t="shared" si="25"/>
        <v>HYPER PEDRO MENENDEZ</v>
      </c>
      <c r="H250" t="str">
        <f>+VLOOKUP(B250,[1]Hoja1!$A:$A,1,0)</f>
        <v>472</v>
      </c>
    </row>
    <row r="251" spans="1:8" x14ac:dyDescent="0.25">
      <c r="A251" t="s">
        <v>422</v>
      </c>
      <c r="B251" s="4" t="s">
        <v>1191</v>
      </c>
      <c r="C251">
        <v>403</v>
      </c>
      <c r="D251" t="s">
        <v>423</v>
      </c>
      <c r="E251" t="s">
        <v>229</v>
      </c>
      <c r="F251" t="s">
        <v>9</v>
      </c>
      <c r="G251" t="str">
        <f t="shared" si="25"/>
        <v>PRIMAX DURÁN</v>
      </c>
      <c r="H251" t="str">
        <f>+VLOOKUP(B251,[1]Hoja1!$A:$A,1,0)</f>
        <v>403</v>
      </c>
    </row>
    <row r="252" spans="1:8" x14ac:dyDescent="0.25">
      <c r="A252" t="s">
        <v>577</v>
      </c>
      <c r="B252" s="4" t="s">
        <v>1227</v>
      </c>
      <c r="C252">
        <v>515</v>
      </c>
      <c r="D252" t="s">
        <v>578</v>
      </c>
      <c r="E252" t="s">
        <v>8</v>
      </c>
      <c r="F252" t="s">
        <v>9</v>
      </c>
      <c r="G252" t="str">
        <f t="shared" si="25"/>
        <v>SUPERCINES FCO DE ORELLANA</v>
      </c>
      <c r="H252" t="str">
        <f>+VLOOKUP(B252,[1]Hoja1!$A:$A,1,0)</f>
        <v>515</v>
      </c>
    </row>
    <row r="253" spans="1:8" x14ac:dyDescent="0.25">
      <c r="A253" t="s">
        <v>65</v>
      </c>
      <c r="B253" s="4" t="s">
        <v>1015</v>
      </c>
      <c r="C253">
        <v>35</v>
      </c>
      <c r="D253" t="s">
        <v>66</v>
      </c>
      <c r="E253" t="s">
        <v>8</v>
      </c>
      <c r="F253" t="s">
        <v>9</v>
      </c>
      <c r="G253" t="s">
        <v>757</v>
      </c>
      <c r="H253" t="str">
        <f>+VLOOKUP(B253,[1]Hoja1!$A:$A,1,0)</f>
        <v>35</v>
      </c>
    </row>
    <row r="254" spans="1:8" x14ac:dyDescent="0.25">
      <c r="A254" t="s">
        <v>164</v>
      </c>
      <c r="B254" s="4" t="s">
        <v>1016</v>
      </c>
      <c r="C254">
        <v>114</v>
      </c>
      <c r="D254" t="s">
        <v>66</v>
      </c>
      <c r="E254" t="s">
        <v>8</v>
      </c>
      <c r="F254" t="s">
        <v>9</v>
      </c>
      <c r="G254" t="s">
        <v>757</v>
      </c>
      <c r="H254" t="str">
        <f>+VLOOKUP(B254,[1]Hoja1!$A:$A,1,0)</f>
        <v>114</v>
      </c>
    </row>
    <row r="255" spans="1:8" x14ac:dyDescent="0.25">
      <c r="A255" t="s">
        <v>757</v>
      </c>
      <c r="B255" s="4" t="s">
        <v>758</v>
      </c>
      <c r="C255" t="s">
        <v>759</v>
      </c>
      <c r="D255" t="s">
        <v>66</v>
      </c>
      <c r="E255" t="s">
        <v>8</v>
      </c>
      <c r="F255" t="s">
        <v>9</v>
      </c>
      <c r="G255" t="s">
        <v>757</v>
      </c>
      <c r="H255" t="str">
        <f>+VLOOKUP(B255,[1]Hoja1!$A:$A,1,0)</f>
        <v>A0031</v>
      </c>
    </row>
    <row r="256" spans="1:8" x14ac:dyDescent="0.25">
      <c r="A256" t="s">
        <v>227</v>
      </c>
      <c r="B256" s="4" t="s">
        <v>1243</v>
      </c>
      <c r="C256">
        <v>189</v>
      </c>
      <c r="D256" t="s">
        <v>228</v>
      </c>
      <c r="E256" t="s">
        <v>229</v>
      </c>
      <c r="F256" t="s">
        <v>9</v>
      </c>
      <c r="G256" t="str">
        <f t="shared" ref="G256:G257" si="26">A256</f>
        <v>TIA DURAN</v>
      </c>
      <c r="H256" t="str">
        <f>+VLOOKUP(B256,[1]Hoja1!$A:$A,1,0)</f>
        <v>189</v>
      </c>
    </row>
    <row r="257" spans="1:8" x14ac:dyDescent="0.25">
      <c r="A257" t="s">
        <v>169</v>
      </c>
      <c r="B257" s="4" t="s">
        <v>1078</v>
      </c>
      <c r="C257">
        <v>118</v>
      </c>
      <c r="D257" t="s">
        <v>170</v>
      </c>
      <c r="E257" t="s">
        <v>8</v>
      </c>
      <c r="F257" t="s">
        <v>9</v>
      </c>
      <c r="G257" t="str">
        <f t="shared" si="26"/>
        <v>HYPERMARKET ALBAN BORJA</v>
      </c>
      <c r="H257" t="str">
        <f>+VLOOKUP(B257,[1]Hoja1!$A:$A,1,0)</f>
        <v>118</v>
      </c>
    </row>
    <row r="258" spans="1:8" x14ac:dyDescent="0.25">
      <c r="A258" t="s">
        <v>705</v>
      </c>
      <c r="B258" s="4" t="s">
        <v>706</v>
      </c>
      <c r="C258" t="s">
        <v>707</v>
      </c>
      <c r="D258" t="s">
        <v>146</v>
      </c>
      <c r="E258" t="s">
        <v>8</v>
      </c>
      <c r="F258" t="s">
        <v>9</v>
      </c>
      <c r="G258" t="s">
        <v>705</v>
      </c>
      <c r="H258" t="str">
        <f>+VLOOKUP(B258,[1]Hoja1!$A:$A,1,0)</f>
        <v>A0013</v>
      </c>
    </row>
    <row r="259" spans="1:8" x14ac:dyDescent="0.25">
      <c r="A259" t="s">
        <v>145</v>
      </c>
      <c r="B259" s="4" t="s">
        <v>1133</v>
      </c>
      <c r="C259">
        <v>97</v>
      </c>
      <c r="D259" t="s">
        <v>146</v>
      </c>
      <c r="E259" t="s">
        <v>8</v>
      </c>
      <c r="F259" t="s">
        <v>9</v>
      </c>
      <c r="G259" t="s">
        <v>705</v>
      </c>
      <c r="H259" t="str">
        <f>+VLOOKUP(B259,[1]Hoja1!$A:$A,1,0)</f>
        <v>97</v>
      </c>
    </row>
    <row r="260" spans="1:8" x14ac:dyDescent="0.25">
      <c r="A260" t="s">
        <v>92</v>
      </c>
      <c r="B260" s="4" t="s">
        <v>1008</v>
      </c>
      <c r="C260">
        <v>57</v>
      </c>
      <c r="D260" t="s">
        <v>93</v>
      </c>
      <c r="E260" t="s">
        <v>8</v>
      </c>
      <c r="F260" t="s">
        <v>9</v>
      </c>
      <c r="G260" t="s">
        <v>742</v>
      </c>
      <c r="H260" t="str">
        <f>+VLOOKUP(B260,[1]Hoja1!$A:$A,1,0)</f>
        <v>57</v>
      </c>
    </row>
    <row r="261" spans="1:8" x14ac:dyDescent="0.25">
      <c r="A261" t="s">
        <v>160</v>
      </c>
      <c r="B261" s="4" t="s">
        <v>1009</v>
      </c>
      <c r="C261">
        <v>107</v>
      </c>
      <c r="D261" t="s">
        <v>93</v>
      </c>
      <c r="E261" t="s">
        <v>8</v>
      </c>
      <c r="F261" t="s">
        <v>9</v>
      </c>
      <c r="G261" t="s">
        <v>742</v>
      </c>
      <c r="H261" t="str">
        <f>+VLOOKUP(B261,[1]Hoja1!$A:$A,1,0)</f>
        <v>107</v>
      </c>
    </row>
    <row r="262" spans="1:8" x14ac:dyDescent="0.25">
      <c r="A262" t="s">
        <v>742</v>
      </c>
      <c r="B262" s="4" t="s">
        <v>743</v>
      </c>
      <c r="C262" t="s">
        <v>744</v>
      </c>
      <c r="D262" t="s">
        <v>93</v>
      </c>
      <c r="E262" t="s">
        <v>8</v>
      </c>
      <c r="F262" t="s">
        <v>9</v>
      </c>
      <c r="G262" t="s">
        <v>742</v>
      </c>
      <c r="H262" t="str">
        <f>+VLOOKUP(B262,[1]Hoja1!$A:$A,1,0)</f>
        <v>A0026</v>
      </c>
    </row>
    <row r="263" spans="1:8" x14ac:dyDescent="0.25">
      <c r="A263" t="s">
        <v>128</v>
      </c>
      <c r="B263" s="4" t="s">
        <v>1187</v>
      </c>
      <c r="C263">
        <v>82</v>
      </c>
      <c r="D263" t="s">
        <v>129</v>
      </c>
      <c r="E263" t="s">
        <v>8</v>
      </c>
      <c r="F263" t="s">
        <v>9</v>
      </c>
      <c r="G263" t="str">
        <f t="shared" ref="G263:G266" si="27">A263</f>
        <v>PRIMAX ATARAZANA</v>
      </c>
      <c r="H263" t="str">
        <f>+VLOOKUP(B263,[1]Hoja1!$A:$A,1,0)</f>
        <v>82</v>
      </c>
    </row>
    <row r="264" spans="1:8" x14ac:dyDescent="0.25">
      <c r="A264" t="s">
        <v>491</v>
      </c>
      <c r="B264" s="4" t="s">
        <v>1169</v>
      </c>
      <c r="C264">
        <v>450</v>
      </c>
      <c r="D264" t="s">
        <v>492</v>
      </c>
      <c r="E264" t="s">
        <v>8</v>
      </c>
      <c r="F264" t="s">
        <v>9</v>
      </c>
      <c r="G264" t="str">
        <f t="shared" si="27"/>
        <v>PHARMACY'S CLINICA KENNEDY</v>
      </c>
      <c r="H264" t="str">
        <f>+VLOOKUP(B264,[1]Hoja1!$A:$A,1,0)</f>
        <v>450</v>
      </c>
    </row>
    <row r="265" spans="1:8" x14ac:dyDescent="0.25">
      <c r="A265" t="s">
        <v>137</v>
      </c>
      <c r="B265" s="4" t="s">
        <v>1072</v>
      </c>
      <c r="C265">
        <v>91</v>
      </c>
      <c r="D265" t="s">
        <v>138</v>
      </c>
      <c r="E265" t="s">
        <v>8</v>
      </c>
      <c r="F265" t="s">
        <v>9</v>
      </c>
      <c r="G265" t="str">
        <f t="shared" si="27"/>
        <v>HOSP. SOLCA P. MENENDEZ GIL</v>
      </c>
      <c r="H265" t="str">
        <f>+VLOOKUP(B265,[1]Hoja1!$A:$A,1,0)</f>
        <v>91</v>
      </c>
    </row>
    <row r="266" spans="1:8" x14ac:dyDescent="0.25">
      <c r="A266" t="s">
        <v>631</v>
      </c>
      <c r="B266" s="4" t="s">
        <v>1041</v>
      </c>
      <c r="C266">
        <v>546</v>
      </c>
      <c r="D266" t="s">
        <v>632</v>
      </c>
      <c r="E266" t="s">
        <v>229</v>
      </c>
      <c r="F266" t="s">
        <v>9</v>
      </c>
      <c r="G266" t="str">
        <f t="shared" si="27"/>
        <v>DURAN EL RECREO 3 ETAPA</v>
      </c>
      <c r="H266" t="str">
        <f>+VLOOKUP(B266,[1]Hoja1!$A:$A,1,0)</f>
        <v>546</v>
      </c>
    </row>
    <row r="267" spans="1:8" x14ac:dyDescent="0.25">
      <c r="A267" t="s">
        <v>6</v>
      </c>
      <c r="B267" s="4" t="s">
        <v>1162</v>
      </c>
      <c r="C267">
        <v>2</v>
      </c>
      <c r="D267" t="s">
        <v>7</v>
      </c>
      <c r="E267" t="s">
        <v>8</v>
      </c>
      <c r="F267" t="s">
        <v>9</v>
      </c>
      <c r="G267" t="s">
        <v>763</v>
      </c>
      <c r="H267" t="str">
        <f>+VLOOKUP(B267,[1]Hoja1!$A:$A,1,0)</f>
        <v>2</v>
      </c>
    </row>
    <row r="268" spans="1:8" x14ac:dyDescent="0.25">
      <c r="A268" t="s">
        <v>85</v>
      </c>
      <c r="B268" s="4" t="s">
        <v>1163</v>
      </c>
      <c r="C268">
        <v>52</v>
      </c>
      <c r="D268" t="s">
        <v>7</v>
      </c>
      <c r="E268" t="s">
        <v>8</v>
      </c>
      <c r="F268" t="s">
        <v>9</v>
      </c>
      <c r="G268" t="s">
        <v>763</v>
      </c>
      <c r="H268" t="str">
        <f>+VLOOKUP(B268,[1]Hoja1!$A:$A,1,0)</f>
        <v>52</v>
      </c>
    </row>
    <row r="269" spans="1:8" x14ac:dyDescent="0.25">
      <c r="A269" t="s">
        <v>763</v>
      </c>
      <c r="B269" s="4" t="s">
        <v>764</v>
      </c>
      <c r="C269" t="s">
        <v>765</v>
      </c>
      <c r="D269" t="s">
        <v>7</v>
      </c>
      <c r="E269" t="s">
        <v>8</v>
      </c>
      <c r="F269" t="s">
        <v>9</v>
      </c>
      <c r="G269" t="s">
        <v>763</v>
      </c>
      <c r="H269" t="str">
        <f>+VLOOKUP(B269,[1]Hoja1!$A:$A,1,0)</f>
        <v>A0033</v>
      </c>
    </row>
    <row r="270" spans="1:8" x14ac:dyDescent="0.25">
      <c r="A270" t="s">
        <v>602</v>
      </c>
      <c r="B270" s="4" t="s">
        <v>1237</v>
      </c>
      <c r="C270">
        <v>529</v>
      </c>
      <c r="D270" t="s">
        <v>603</v>
      </c>
      <c r="E270" t="s">
        <v>229</v>
      </c>
      <c r="F270" t="s">
        <v>9</v>
      </c>
      <c r="G270" t="str">
        <f>A270</f>
        <v>TERPEL DURAN</v>
      </c>
      <c r="H270" t="str">
        <f>+VLOOKUP(B270,[1]Hoja1!$A:$A,1,0)</f>
        <v>529</v>
      </c>
    </row>
    <row r="271" spans="1:8" x14ac:dyDescent="0.25">
      <c r="A271" t="s">
        <v>49</v>
      </c>
      <c r="B271" s="4" t="s">
        <v>1071</v>
      </c>
      <c r="C271">
        <v>22</v>
      </c>
      <c r="D271" t="s">
        <v>50</v>
      </c>
      <c r="E271" t="s">
        <v>8</v>
      </c>
      <c r="F271" t="s">
        <v>9</v>
      </c>
      <c r="G271" t="s">
        <v>839</v>
      </c>
      <c r="H271" t="str">
        <f>+VLOOKUP(B271,[1]Hoja1!$A:$A,1,0)</f>
        <v>22</v>
      </c>
    </row>
    <row r="272" spans="1:8" x14ac:dyDescent="0.25">
      <c r="A272" t="s">
        <v>839</v>
      </c>
      <c r="B272" s="4" t="s">
        <v>840</v>
      </c>
      <c r="C272" t="s">
        <v>841</v>
      </c>
      <c r="D272" t="s">
        <v>50</v>
      </c>
      <c r="E272" t="s">
        <v>8</v>
      </c>
      <c r="F272" t="s">
        <v>9</v>
      </c>
      <c r="G272" t="s">
        <v>839</v>
      </c>
      <c r="H272" t="str">
        <f>+VLOOKUP(B272,[1]Hoja1!$A:$A,1,0)</f>
        <v>A0058</v>
      </c>
    </row>
    <row r="273" spans="1:8" x14ac:dyDescent="0.25">
      <c r="A273" t="s">
        <v>161</v>
      </c>
      <c r="B273" s="4" t="s">
        <v>977</v>
      </c>
      <c r="C273">
        <v>108</v>
      </c>
      <c r="D273" t="s">
        <v>162</v>
      </c>
      <c r="E273" t="s">
        <v>8</v>
      </c>
      <c r="F273" t="s">
        <v>9</v>
      </c>
      <c r="G273" t="str">
        <f>A273</f>
        <v>ATARAZANA HOSP. R. GILBERT</v>
      </c>
      <c r="H273" t="str">
        <f>+VLOOKUP(B273,[1]Hoja1!$A:$A,1,0)</f>
        <v>108</v>
      </c>
    </row>
    <row r="274" spans="1:8" x14ac:dyDescent="0.25">
      <c r="A274" t="s">
        <v>739</v>
      </c>
      <c r="B274" s="4" t="s">
        <v>740</v>
      </c>
      <c r="C274" t="s">
        <v>741</v>
      </c>
      <c r="D274" t="s">
        <v>244</v>
      </c>
      <c r="E274" t="s">
        <v>229</v>
      </c>
      <c r="F274" t="s">
        <v>9</v>
      </c>
      <c r="G274" t="s">
        <v>739</v>
      </c>
      <c r="H274" t="str">
        <f>+VLOOKUP(B274,[1]Hoja1!$A:$A,1,0)</f>
        <v>A0025</v>
      </c>
    </row>
    <row r="275" spans="1:8" x14ac:dyDescent="0.25">
      <c r="A275" t="s">
        <v>243</v>
      </c>
      <c r="B275" s="4" t="s">
        <v>1223</v>
      </c>
      <c r="C275">
        <v>203</v>
      </c>
      <c r="D275" t="s">
        <v>244</v>
      </c>
      <c r="E275" t="s">
        <v>229</v>
      </c>
      <c r="F275" t="s">
        <v>9</v>
      </c>
      <c r="G275" t="s">
        <v>739</v>
      </c>
      <c r="H275" t="str">
        <f>+VLOOKUP(B275,[1]Hoja1!$A:$A,1,0)</f>
        <v>203</v>
      </c>
    </row>
    <row r="276" spans="1:8" x14ac:dyDescent="0.25">
      <c r="A276" t="s">
        <v>594</v>
      </c>
      <c r="B276" s="4" t="s">
        <v>1224</v>
      </c>
      <c r="C276">
        <v>525</v>
      </c>
      <c r="D276" t="s">
        <v>244</v>
      </c>
      <c r="E276" t="s">
        <v>229</v>
      </c>
      <c r="F276" t="s">
        <v>9</v>
      </c>
      <c r="G276" t="s">
        <v>739</v>
      </c>
      <c r="H276" t="str">
        <f>+VLOOKUP(B276,[1]Hoja1!$A:$A,1,0)</f>
        <v>525</v>
      </c>
    </row>
    <row r="277" spans="1:8" x14ac:dyDescent="0.25">
      <c r="A277" t="s">
        <v>37</v>
      </c>
      <c r="B277" s="4" t="s">
        <v>1017</v>
      </c>
      <c r="C277">
        <v>13</v>
      </c>
      <c r="D277" t="s">
        <v>38</v>
      </c>
      <c r="E277" t="s">
        <v>8</v>
      </c>
      <c r="F277" t="s">
        <v>9</v>
      </c>
      <c r="G277" t="s">
        <v>861</v>
      </c>
      <c r="H277" t="str">
        <f>+VLOOKUP(B277,[1]Hoja1!$A:$A,1,0)</f>
        <v>13</v>
      </c>
    </row>
    <row r="278" spans="1:8" x14ac:dyDescent="0.25">
      <c r="A278" t="s">
        <v>134</v>
      </c>
      <c r="B278" s="4" t="s">
        <v>1018</v>
      </c>
      <c r="C278">
        <v>89</v>
      </c>
      <c r="D278" t="s">
        <v>38</v>
      </c>
      <c r="E278" t="s">
        <v>8</v>
      </c>
      <c r="F278" t="s">
        <v>9</v>
      </c>
      <c r="G278" t="s">
        <v>861</v>
      </c>
      <c r="H278" t="str">
        <f>+VLOOKUP(B278,[1]Hoja1!$A:$A,1,0)</f>
        <v>89</v>
      </c>
    </row>
    <row r="279" spans="1:8" x14ac:dyDescent="0.25">
      <c r="A279" t="s">
        <v>571</v>
      </c>
      <c r="B279" s="4" t="s">
        <v>1217</v>
      </c>
      <c r="C279">
        <v>512</v>
      </c>
      <c r="D279" t="s">
        <v>38</v>
      </c>
      <c r="E279" t="s">
        <v>8</v>
      </c>
      <c r="F279" t="s">
        <v>9</v>
      </c>
      <c r="G279" t="s">
        <v>861</v>
      </c>
      <c r="H279" t="str">
        <f>+VLOOKUP(B279,[1]Hoja1!$A:$A,1,0)</f>
        <v>512</v>
      </c>
    </row>
    <row r="280" spans="1:8" x14ac:dyDescent="0.25">
      <c r="A280" t="s">
        <v>861</v>
      </c>
      <c r="B280" s="4" t="s">
        <v>862</v>
      </c>
      <c r="C280" t="s">
        <v>863</v>
      </c>
      <c r="D280" t="s">
        <v>38</v>
      </c>
      <c r="E280" t="s">
        <v>8</v>
      </c>
      <c r="F280" t="s">
        <v>9</v>
      </c>
      <c r="G280" t="s">
        <v>861</v>
      </c>
      <c r="H280" t="str">
        <f>+VLOOKUP(B280,[1]Hoja1!$A:$A,1,0)</f>
        <v>A0065</v>
      </c>
    </row>
    <row r="281" spans="1:8" x14ac:dyDescent="0.25">
      <c r="A281" t="s">
        <v>800</v>
      </c>
      <c r="B281" s="4" t="s">
        <v>801</v>
      </c>
      <c r="C281" t="s">
        <v>802</v>
      </c>
      <c r="D281" t="s">
        <v>440</v>
      </c>
      <c r="E281" t="s">
        <v>8</v>
      </c>
      <c r="F281" t="s">
        <v>9</v>
      </c>
      <c r="G281" t="s">
        <v>800</v>
      </c>
      <c r="H281" t="str">
        <f>+VLOOKUP(B281,[1]Hoja1!$A:$A,1,0)</f>
        <v>A0044</v>
      </c>
    </row>
    <row r="282" spans="1:8" x14ac:dyDescent="0.25">
      <c r="A282" t="s">
        <v>439</v>
      </c>
      <c r="B282" s="4" t="s">
        <v>1097</v>
      </c>
      <c r="C282">
        <v>413</v>
      </c>
      <c r="D282" t="s">
        <v>440</v>
      </c>
      <c r="E282" t="s">
        <v>8</v>
      </c>
      <c r="F282" t="s">
        <v>9</v>
      </c>
      <c r="G282" t="s">
        <v>800</v>
      </c>
      <c r="H282" t="str">
        <f>+VLOOKUP(B282,[1]Hoja1!$A:$A,1,0)</f>
        <v>413</v>
      </c>
    </row>
    <row r="283" spans="1:8" x14ac:dyDescent="0.25">
      <c r="A283" t="s">
        <v>708</v>
      </c>
      <c r="B283" s="4" t="s">
        <v>709</v>
      </c>
      <c r="C283" t="s">
        <v>710</v>
      </c>
      <c r="D283" t="s">
        <v>442</v>
      </c>
      <c r="E283" t="s">
        <v>8</v>
      </c>
      <c r="F283" t="s">
        <v>9</v>
      </c>
      <c r="G283" t="s">
        <v>708</v>
      </c>
      <c r="H283" t="str">
        <f>+VLOOKUP(B283,[1]Hoja1!$A:$A,1,0)</f>
        <v>A0014</v>
      </c>
    </row>
    <row r="284" spans="1:8" x14ac:dyDescent="0.25">
      <c r="A284" t="s">
        <v>443</v>
      </c>
      <c r="B284" s="4" t="s">
        <v>1088</v>
      </c>
      <c r="C284">
        <v>415</v>
      </c>
      <c r="D284" t="s">
        <v>442</v>
      </c>
      <c r="E284" t="s">
        <v>8</v>
      </c>
      <c r="F284" t="s">
        <v>9</v>
      </c>
      <c r="G284" t="s">
        <v>1285</v>
      </c>
      <c r="H284" t="str">
        <f>+VLOOKUP(B284,[1]Hoja1!$A:$A,1,0)</f>
        <v>415</v>
      </c>
    </row>
    <row r="285" spans="1:8" x14ac:dyDescent="0.25">
      <c r="A285" t="s">
        <v>441</v>
      </c>
      <c r="B285" s="4" t="s">
        <v>1089</v>
      </c>
      <c r="C285">
        <v>414</v>
      </c>
      <c r="D285" t="s">
        <v>442</v>
      </c>
      <c r="E285" t="s">
        <v>8</v>
      </c>
      <c r="F285" t="s">
        <v>9</v>
      </c>
      <c r="G285" t="s">
        <v>708</v>
      </c>
      <c r="H285" t="str">
        <f>+VLOOKUP(B285,[1]Hoja1!$A:$A,1,0)</f>
        <v>414</v>
      </c>
    </row>
    <row r="286" spans="1:8" x14ac:dyDescent="0.25">
      <c r="A286" t="s">
        <v>625</v>
      </c>
      <c r="B286" s="4" t="s">
        <v>1269</v>
      </c>
      <c r="C286">
        <v>543</v>
      </c>
      <c r="D286" t="s">
        <v>626</v>
      </c>
      <c r="E286" t="s">
        <v>229</v>
      </c>
      <c r="F286" t="s">
        <v>9</v>
      </c>
      <c r="G286" t="str">
        <f t="shared" ref="G286:G289" si="28">A286</f>
        <v>TUTI DURANEL RECREO 1° ETAPA</v>
      </c>
      <c r="H286" t="str">
        <f>+VLOOKUP(B286,[1]Hoja1!$A:$A,1,0)</f>
        <v>543</v>
      </c>
    </row>
    <row r="287" spans="1:8" x14ac:dyDescent="0.25">
      <c r="A287" t="s">
        <v>276</v>
      </c>
      <c r="B287" s="4" t="s">
        <v>1065</v>
      </c>
      <c r="C287">
        <v>261</v>
      </c>
      <c r="D287" t="s">
        <v>277</v>
      </c>
      <c r="E287" t="s">
        <v>8</v>
      </c>
      <c r="F287" t="s">
        <v>9</v>
      </c>
      <c r="G287" t="str">
        <f t="shared" si="28"/>
        <v>HIPERMARKET AV. LAS AMERICA</v>
      </c>
      <c r="H287" t="str">
        <f>+VLOOKUP(B287,[1]Hoja1!$A:$A,1,0)</f>
        <v>261</v>
      </c>
    </row>
    <row r="288" spans="1:8" x14ac:dyDescent="0.25">
      <c r="A288" t="s">
        <v>364</v>
      </c>
      <c r="B288" s="4" t="s">
        <v>1064</v>
      </c>
      <c r="C288">
        <v>355</v>
      </c>
      <c r="D288" t="s">
        <v>365</v>
      </c>
      <c r="E288" t="s">
        <v>8</v>
      </c>
      <c r="F288" t="s">
        <v>9</v>
      </c>
      <c r="G288" t="str">
        <f t="shared" si="28"/>
        <v>HIPER VIA A LA COSTA</v>
      </c>
      <c r="H288" t="str">
        <f>+VLOOKUP(B288,[1]Hoja1!$A:$A,1,0)</f>
        <v>355</v>
      </c>
    </row>
    <row r="289" spans="1:8" x14ac:dyDescent="0.25">
      <c r="A289" t="s">
        <v>547</v>
      </c>
      <c r="B289" s="4" t="s">
        <v>1228</v>
      </c>
      <c r="C289">
        <v>495</v>
      </c>
      <c r="D289" t="s">
        <v>548</v>
      </c>
      <c r="E289" t="s">
        <v>8</v>
      </c>
      <c r="F289" t="s">
        <v>9</v>
      </c>
      <c r="G289" t="str">
        <f t="shared" si="28"/>
        <v>SUPERMAXI VIA A LA COSTA</v>
      </c>
      <c r="H289" t="str">
        <f>+VLOOKUP(B289,[1]Hoja1!$A:$A,1,0)</f>
        <v>495</v>
      </c>
    </row>
    <row r="290" spans="1:8" x14ac:dyDescent="0.25">
      <c r="A290" t="s">
        <v>962</v>
      </c>
      <c r="B290" s="4" t="s">
        <v>963</v>
      </c>
      <c r="C290" t="s">
        <v>964</v>
      </c>
      <c r="D290" t="s">
        <v>91</v>
      </c>
      <c r="E290" t="s">
        <v>8</v>
      </c>
      <c r="F290" t="s">
        <v>9</v>
      </c>
      <c r="G290" t="s">
        <v>962</v>
      </c>
      <c r="H290" t="str">
        <f>+VLOOKUP(B290,[1]Hoja1!$A:$A,1,0)</f>
        <v>A0105</v>
      </c>
    </row>
    <row r="291" spans="1:8" x14ac:dyDescent="0.25">
      <c r="A291" t="s">
        <v>90</v>
      </c>
      <c r="B291" s="4" t="s">
        <v>1277</v>
      </c>
      <c r="C291">
        <v>55</v>
      </c>
      <c r="D291" t="s">
        <v>91</v>
      </c>
      <c r="E291" t="s">
        <v>8</v>
      </c>
      <c r="F291" t="s">
        <v>9</v>
      </c>
      <c r="G291" t="s">
        <v>962</v>
      </c>
      <c r="H291" t="str">
        <f>+VLOOKUP(B291,[1]Hoja1!$A:$A,1,0)</f>
        <v>55</v>
      </c>
    </row>
    <row r="292" spans="1:8" x14ac:dyDescent="0.25">
      <c r="A292" t="s">
        <v>378</v>
      </c>
      <c r="B292" s="4" t="s">
        <v>1218</v>
      </c>
      <c r="C292">
        <v>371</v>
      </c>
      <c r="D292" t="s">
        <v>379</v>
      </c>
      <c r="E292" t="s">
        <v>8</v>
      </c>
      <c r="F292" t="s">
        <v>9</v>
      </c>
      <c r="G292" t="str">
        <f t="shared" ref="G292:G299" si="29">A292</f>
        <v>SALAS DE VELACION</v>
      </c>
      <c r="H292" t="str">
        <f>+VLOOKUP(B292,[1]Hoja1!$A:$A,1,0)</f>
        <v>371</v>
      </c>
    </row>
    <row r="293" spans="1:8" x14ac:dyDescent="0.25">
      <c r="A293" t="s">
        <v>627</v>
      </c>
      <c r="B293" s="4" t="s">
        <v>1232</v>
      </c>
      <c r="C293">
        <v>544</v>
      </c>
      <c r="D293" t="s">
        <v>628</v>
      </c>
      <c r="E293" t="s">
        <v>8</v>
      </c>
      <c r="F293" t="s">
        <v>9</v>
      </c>
      <c r="G293" t="str">
        <f t="shared" si="29"/>
        <v>TERMINAL TERRESTRE MUNICIPAL COSTA</v>
      </c>
      <c r="H293" t="str">
        <f>+VLOOKUP(B293,[1]Hoja1!$A:$A,1,0)</f>
        <v>544</v>
      </c>
    </row>
    <row r="294" spans="1:8" x14ac:dyDescent="0.25">
      <c r="A294" t="s">
        <v>230</v>
      </c>
      <c r="B294" s="4" t="s">
        <v>1074</v>
      </c>
      <c r="C294">
        <v>190</v>
      </c>
      <c r="D294" t="s">
        <v>231</v>
      </c>
      <c r="E294" t="s">
        <v>8</v>
      </c>
      <c r="F294" t="s">
        <v>9</v>
      </c>
      <c r="G294" t="str">
        <f t="shared" si="29"/>
        <v>HOSPITAL LUIS VERNAZA</v>
      </c>
      <c r="H294" t="str">
        <f>+VLOOKUP(B294,[1]Hoja1!$A:$A,1,0)</f>
        <v>190</v>
      </c>
    </row>
    <row r="295" spans="1:8" x14ac:dyDescent="0.25">
      <c r="A295" t="s">
        <v>330</v>
      </c>
      <c r="B295" s="4" t="s">
        <v>1173</v>
      </c>
      <c r="C295">
        <v>325</v>
      </c>
      <c r="D295" t="s">
        <v>331</v>
      </c>
      <c r="E295" t="s">
        <v>8</v>
      </c>
      <c r="F295" t="s">
        <v>9</v>
      </c>
      <c r="G295" t="str">
        <f t="shared" si="29"/>
        <v>PLAZA COLONIA</v>
      </c>
      <c r="H295" t="str">
        <f>+VLOOKUP(B295,[1]Hoja1!$A:$A,1,0)</f>
        <v>325</v>
      </c>
    </row>
    <row r="296" spans="1:8" x14ac:dyDescent="0.25">
      <c r="A296" t="s">
        <v>328</v>
      </c>
      <c r="B296" s="4" t="s">
        <v>1203</v>
      </c>
      <c r="C296">
        <v>324</v>
      </c>
      <c r="D296" t="s">
        <v>329</v>
      </c>
      <c r="E296" t="s">
        <v>8</v>
      </c>
      <c r="F296" t="s">
        <v>9</v>
      </c>
      <c r="G296" t="str">
        <f t="shared" si="29"/>
        <v>PRIMAX PUERTO AZUL</v>
      </c>
      <c r="H296" t="str">
        <f>+VLOOKUP(B296,[1]Hoja1!$A:$A,1,0)</f>
        <v>324</v>
      </c>
    </row>
    <row r="297" spans="1:8" x14ac:dyDescent="0.25">
      <c r="A297" t="s">
        <v>135</v>
      </c>
      <c r="B297" s="4" t="s">
        <v>1211</v>
      </c>
      <c r="C297">
        <v>90</v>
      </c>
      <c r="D297" t="s">
        <v>136</v>
      </c>
      <c r="E297" t="s">
        <v>8</v>
      </c>
      <c r="F297" t="s">
        <v>9</v>
      </c>
      <c r="G297" t="str">
        <f t="shared" si="29"/>
        <v>PYCCA 123 ESCOBEDO</v>
      </c>
      <c r="H297" t="str">
        <f>+VLOOKUP(B297,[1]Hoja1!$A:$A,1,0)</f>
        <v>90</v>
      </c>
    </row>
    <row r="298" spans="1:8" x14ac:dyDescent="0.25">
      <c r="A298" t="s">
        <v>132</v>
      </c>
      <c r="B298" s="4" t="s">
        <v>1177</v>
      </c>
      <c r="C298">
        <v>87</v>
      </c>
      <c r="D298" t="s">
        <v>133</v>
      </c>
      <c r="E298" t="s">
        <v>8</v>
      </c>
      <c r="F298" t="s">
        <v>9</v>
      </c>
      <c r="G298" t="str">
        <f t="shared" si="29"/>
        <v>PLAZA RODOLFO BAQUERIZO MOR</v>
      </c>
      <c r="H298" t="str">
        <f>+VLOOKUP(B298,[1]Hoja1!$A:$A,1,0)</f>
        <v>87</v>
      </c>
    </row>
    <row r="299" spans="1:8" x14ac:dyDescent="0.25">
      <c r="A299" t="s">
        <v>167</v>
      </c>
      <c r="B299" s="4" t="s">
        <v>1046</v>
      </c>
      <c r="C299">
        <v>117</v>
      </c>
      <c r="D299" t="s">
        <v>168</v>
      </c>
      <c r="E299" t="s">
        <v>8</v>
      </c>
      <c r="F299" t="s">
        <v>9</v>
      </c>
      <c r="G299" t="str">
        <f t="shared" si="29"/>
        <v>FARM. DROMAYOR</v>
      </c>
      <c r="H299" t="str">
        <f>+VLOOKUP(B299,[1]Hoja1!$A:$A,1,0)</f>
        <v>117</v>
      </c>
    </row>
    <row r="300" spans="1:8" x14ac:dyDescent="0.25">
      <c r="A300" t="s">
        <v>669</v>
      </c>
      <c r="B300" s="4" t="s">
        <v>670</v>
      </c>
      <c r="C300" t="s">
        <v>671</v>
      </c>
      <c r="D300" t="s">
        <v>101</v>
      </c>
      <c r="E300" t="s">
        <v>8</v>
      </c>
      <c r="F300" t="s">
        <v>9</v>
      </c>
      <c r="G300" t="s">
        <v>669</v>
      </c>
      <c r="H300" t="str">
        <f>+VLOOKUP(B300,[1]Hoja1!$A:$A,1,0)</f>
        <v>A0001</v>
      </c>
    </row>
    <row r="301" spans="1:8" x14ac:dyDescent="0.25">
      <c r="A301" t="s">
        <v>100</v>
      </c>
      <c r="B301" s="4" t="s">
        <v>1112</v>
      </c>
      <c r="C301">
        <v>61</v>
      </c>
      <c r="D301" t="s">
        <v>101</v>
      </c>
      <c r="E301" t="s">
        <v>8</v>
      </c>
      <c r="F301" t="s">
        <v>9</v>
      </c>
      <c r="G301" t="s">
        <v>669</v>
      </c>
      <c r="H301" t="str">
        <f>+VLOOKUP(B301,[1]Hoja1!$A:$A,1,0)</f>
        <v>61</v>
      </c>
    </row>
    <row r="302" spans="1:8" x14ac:dyDescent="0.25">
      <c r="A302" t="s">
        <v>551</v>
      </c>
      <c r="B302" s="4" t="s">
        <v>1040</v>
      </c>
      <c r="C302">
        <v>497</v>
      </c>
      <c r="D302" t="s">
        <v>552</v>
      </c>
      <c r="E302" t="s">
        <v>229</v>
      </c>
      <c r="F302" t="s">
        <v>9</v>
      </c>
      <c r="G302" t="str">
        <f t="shared" ref="G302:G304" si="30">A302</f>
        <v>DURAN BUSINESS CENTER</v>
      </c>
      <c r="H302" t="str">
        <f>+VLOOKUP(B302,[1]Hoja1!$A:$A,1,0)</f>
        <v>497</v>
      </c>
    </row>
    <row r="303" spans="1:8" x14ac:dyDescent="0.25">
      <c r="A303" t="s">
        <v>290</v>
      </c>
      <c r="B303" s="4" t="s">
        <v>1208</v>
      </c>
      <c r="C303">
        <v>283</v>
      </c>
      <c r="D303" t="s">
        <v>291</v>
      </c>
      <c r="E303" t="s">
        <v>8</v>
      </c>
      <c r="F303" t="s">
        <v>9</v>
      </c>
      <c r="G303" t="str">
        <f t="shared" si="30"/>
        <v>PRIMAX, PORTETE, AV. JOSE R</v>
      </c>
      <c r="H303" t="str">
        <f>+VLOOKUP(B303,[1]Hoja1!$A:$A,1,0)</f>
        <v>283</v>
      </c>
    </row>
    <row r="304" spans="1:8" x14ac:dyDescent="0.25">
      <c r="A304" t="s">
        <v>528</v>
      </c>
      <c r="B304" s="4" t="s">
        <v>1087</v>
      </c>
      <c r="C304">
        <v>477</v>
      </c>
      <c r="D304" t="s">
        <v>529</v>
      </c>
      <c r="E304" t="s">
        <v>8</v>
      </c>
      <c r="F304" t="s">
        <v>9</v>
      </c>
      <c r="G304" t="str">
        <f t="shared" si="30"/>
        <v>LISTO 9 DE OCTUBRE</v>
      </c>
      <c r="H304" t="str">
        <f>+VLOOKUP(B304,[1]Hoja1!$A:$A,1,0)</f>
        <v>477</v>
      </c>
    </row>
    <row r="305" spans="1:8" x14ac:dyDescent="0.25">
      <c r="A305" t="s">
        <v>727</v>
      </c>
      <c r="B305" s="4" t="s">
        <v>728</v>
      </c>
      <c r="C305" t="s">
        <v>729</v>
      </c>
      <c r="D305" t="s">
        <v>564</v>
      </c>
      <c r="E305" t="s">
        <v>8</v>
      </c>
      <c r="F305" t="s">
        <v>9</v>
      </c>
      <c r="G305" t="s">
        <v>727</v>
      </c>
      <c r="H305" t="str">
        <f>+VLOOKUP(B305,[1]Hoja1!$A:$A,1,0)</f>
        <v>A0020</v>
      </c>
    </row>
    <row r="306" spans="1:8" x14ac:dyDescent="0.25">
      <c r="A306" t="s">
        <v>662</v>
      </c>
      <c r="B306" s="4" t="s">
        <v>1286</v>
      </c>
      <c r="D306" t="s">
        <v>564</v>
      </c>
      <c r="E306" t="s">
        <v>8</v>
      </c>
      <c r="F306" t="s">
        <v>9</v>
      </c>
      <c r="G306" t="s">
        <v>727</v>
      </c>
      <c r="H306" t="e">
        <f>+VLOOKUP(B306,[1]Hoja1!$A:$A,1,0)</f>
        <v>#N/A</v>
      </c>
    </row>
    <row r="307" spans="1:8" x14ac:dyDescent="0.25">
      <c r="A307" t="s">
        <v>766</v>
      </c>
      <c r="B307" s="4" t="s">
        <v>1286</v>
      </c>
      <c r="C307" t="s">
        <v>729</v>
      </c>
      <c r="D307" t="s">
        <v>564</v>
      </c>
      <c r="E307" t="s">
        <v>8</v>
      </c>
      <c r="F307" t="s">
        <v>9</v>
      </c>
      <c r="G307" t="s">
        <v>766</v>
      </c>
      <c r="H307" t="e">
        <f>+VLOOKUP(B307,[1]Hoja1!$A:$A,1,0)</f>
        <v>#N/A</v>
      </c>
    </row>
    <row r="308" spans="1:8" x14ac:dyDescent="0.25">
      <c r="A308" t="s">
        <v>563</v>
      </c>
      <c r="B308" s="4" t="s">
        <v>1147</v>
      </c>
      <c r="C308">
        <v>508</v>
      </c>
      <c r="D308" t="s">
        <v>564</v>
      </c>
      <c r="E308" t="s">
        <v>8</v>
      </c>
      <c r="F308" t="s">
        <v>9</v>
      </c>
      <c r="G308" t="s">
        <v>727</v>
      </c>
      <c r="H308" t="str">
        <f>+VLOOKUP(B308,[1]Hoja1!$A:$A,1,0)</f>
        <v>508</v>
      </c>
    </row>
    <row r="309" spans="1:8" x14ac:dyDescent="0.25">
      <c r="A309" t="s">
        <v>583</v>
      </c>
      <c r="B309" s="4" t="s">
        <v>1148</v>
      </c>
      <c r="C309">
        <v>519</v>
      </c>
      <c r="D309" t="s">
        <v>564</v>
      </c>
      <c r="E309" t="s">
        <v>8</v>
      </c>
      <c r="F309" t="s">
        <v>9</v>
      </c>
      <c r="G309" t="s">
        <v>727</v>
      </c>
      <c r="H309" t="str">
        <f>+VLOOKUP(B309,[1]Hoja1!$A:$A,1,0)</f>
        <v>519</v>
      </c>
    </row>
    <row r="310" spans="1:8" x14ac:dyDescent="0.25">
      <c r="A310" t="s">
        <v>819</v>
      </c>
      <c r="B310" s="4" t="s">
        <v>820</v>
      </c>
      <c r="D310" t="s">
        <v>76</v>
      </c>
      <c r="E310" t="s">
        <v>8</v>
      </c>
      <c r="F310" t="s">
        <v>9</v>
      </c>
      <c r="G310" t="s">
        <v>727</v>
      </c>
      <c r="H310" t="str">
        <f>+VLOOKUP(B310,[1]Hoja1!$A:$A,1,0)</f>
        <v>A0051</v>
      </c>
    </row>
    <row r="311" spans="1:8" x14ac:dyDescent="0.25">
      <c r="A311" t="s">
        <v>75</v>
      </c>
      <c r="B311" s="4" t="s">
        <v>1141</v>
      </c>
      <c r="C311">
        <v>44</v>
      </c>
      <c r="D311" t="s">
        <v>76</v>
      </c>
      <c r="E311" t="s">
        <v>8</v>
      </c>
      <c r="F311" t="s">
        <v>9</v>
      </c>
      <c r="G311" t="s">
        <v>727</v>
      </c>
      <c r="H311" t="str">
        <f>+VLOOKUP(B311,[1]Hoja1!$A:$A,1,0)</f>
        <v>44</v>
      </c>
    </row>
    <row r="312" spans="1:8" x14ac:dyDescent="0.25">
      <c r="A312" t="s">
        <v>77</v>
      </c>
      <c r="B312" s="4" t="s">
        <v>1142</v>
      </c>
      <c r="C312">
        <v>45</v>
      </c>
      <c r="D312" t="s">
        <v>76</v>
      </c>
      <c r="E312" t="s">
        <v>8</v>
      </c>
      <c r="F312" t="s">
        <v>9</v>
      </c>
      <c r="G312" t="s">
        <v>727</v>
      </c>
      <c r="H312" t="str">
        <f>+VLOOKUP(B312,[1]Hoja1!$A:$A,1,0)</f>
        <v>45</v>
      </c>
    </row>
    <row r="313" spans="1:8" x14ac:dyDescent="0.25">
      <c r="A313" t="s">
        <v>247</v>
      </c>
      <c r="B313" s="4" t="s">
        <v>1143</v>
      </c>
      <c r="C313">
        <v>214</v>
      </c>
      <c r="D313" t="s">
        <v>76</v>
      </c>
      <c r="E313" t="s">
        <v>8</v>
      </c>
      <c r="F313" t="s">
        <v>9</v>
      </c>
      <c r="G313" t="s">
        <v>727</v>
      </c>
      <c r="H313" t="str">
        <f>+VLOOKUP(B313,[1]Hoja1!$A:$A,1,0)</f>
        <v>214</v>
      </c>
    </row>
    <row r="314" spans="1:8" x14ac:dyDescent="0.25">
      <c r="A314" t="s">
        <v>248</v>
      </c>
      <c r="B314" s="4" t="s">
        <v>1144</v>
      </c>
      <c r="C314">
        <v>215</v>
      </c>
      <c r="D314" t="s">
        <v>76</v>
      </c>
      <c r="E314" t="s">
        <v>8</v>
      </c>
      <c r="F314" t="s">
        <v>9</v>
      </c>
      <c r="G314" t="s">
        <v>727</v>
      </c>
      <c r="H314" t="str">
        <f>+VLOOKUP(B314,[1]Hoja1!$A:$A,1,0)</f>
        <v>215</v>
      </c>
    </row>
    <row r="315" spans="1:8" x14ac:dyDescent="0.25">
      <c r="A315" t="s">
        <v>559</v>
      </c>
      <c r="B315" s="4" t="s">
        <v>1145</v>
      </c>
      <c r="C315">
        <v>505</v>
      </c>
      <c r="D315" t="s">
        <v>76</v>
      </c>
      <c r="E315" t="s">
        <v>8</v>
      </c>
      <c r="F315" t="s">
        <v>9</v>
      </c>
      <c r="G315" t="s">
        <v>727</v>
      </c>
      <c r="H315" t="str">
        <f>+VLOOKUP(B315,[1]Hoja1!$A:$A,1,0)</f>
        <v>505</v>
      </c>
    </row>
    <row r="316" spans="1:8" x14ac:dyDescent="0.25">
      <c r="A316" t="s">
        <v>560</v>
      </c>
      <c r="B316" s="4" t="s">
        <v>1146</v>
      </c>
      <c r="C316">
        <v>506</v>
      </c>
      <c r="D316" t="s">
        <v>76</v>
      </c>
      <c r="E316" t="s">
        <v>8</v>
      </c>
      <c r="F316" t="s">
        <v>9</v>
      </c>
      <c r="G316" t="s">
        <v>727</v>
      </c>
      <c r="H316" t="str">
        <f>+VLOOKUP(B316,[1]Hoja1!$A:$A,1,0)</f>
        <v>506</v>
      </c>
    </row>
    <row r="317" spans="1:8" x14ac:dyDescent="0.25">
      <c r="A317" t="s">
        <v>431</v>
      </c>
      <c r="B317" s="4" t="s">
        <v>1090</v>
      </c>
      <c r="C317">
        <v>408</v>
      </c>
      <c r="D317" t="s">
        <v>432</v>
      </c>
      <c r="E317" t="s">
        <v>8</v>
      </c>
      <c r="F317" t="s">
        <v>9</v>
      </c>
      <c r="G317" t="str">
        <f>A317</f>
        <v>LOTERIA NACIONAL 9 DE OCTUB</v>
      </c>
      <c r="H317" t="str">
        <f>+VLOOKUP(B317,[1]Hoja1!$A:$A,1,0)</f>
        <v>408</v>
      </c>
    </row>
    <row r="318" spans="1:8" x14ac:dyDescent="0.25">
      <c r="A318" t="s">
        <v>339</v>
      </c>
      <c r="B318" s="4" t="s">
        <v>1013</v>
      </c>
      <c r="C318">
        <v>333</v>
      </c>
      <c r="D318" t="s">
        <v>340</v>
      </c>
      <c r="E318" t="s">
        <v>8</v>
      </c>
      <c r="F318" t="s">
        <v>9</v>
      </c>
      <c r="G318" t="s">
        <v>754</v>
      </c>
      <c r="H318" t="str">
        <f>+VLOOKUP(B318,[1]Hoja1!$A:$A,1,0)</f>
        <v>333</v>
      </c>
    </row>
    <row r="319" spans="1:8" x14ac:dyDescent="0.25">
      <c r="A319" t="s">
        <v>754</v>
      </c>
      <c r="B319" s="4" t="s">
        <v>755</v>
      </c>
      <c r="C319" t="s">
        <v>756</v>
      </c>
      <c r="D319" t="s">
        <v>340</v>
      </c>
      <c r="E319" t="s">
        <v>8</v>
      </c>
      <c r="F319" t="s">
        <v>9</v>
      </c>
      <c r="G319" t="s">
        <v>754</v>
      </c>
      <c r="H319" t="str">
        <f>+VLOOKUP(B319,[1]Hoja1!$A:$A,1,0)</f>
        <v>A0030</v>
      </c>
    </row>
    <row r="320" spans="1:8" x14ac:dyDescent="0.25">
      <c r="A320" t="s">
        <v>955</v>
      </c>
      <c r="B320" s="4" t="s">
        <v>956</v>
      </c>
      <c r="C320" t="s">
        <v>957</v>
      </c>
      <c r="D320" t="s">
        <v>958</v>
      </c>
      <c r="E320" t="s">
        <v>8</v>
      </c>
      <c r="F320" t="s">
        <v>9</v>
      </c>
      <c r="G320" t="s">
        <v>955</v>
      </c>
      <c r="H320" t="str">
        <f>+VLOOKUP(B320,[1]Hoja1!$A:$A,1,0)</f>
        <v>A0101</v>
      </c>
    </row>
    <row r="321" spans="1:8" x14ac:dyDescent="0.25">
      <c r="A321" t="s">
        <v>489</v>
      </c>
      <c r="B321" s="4" t="s">
        <v>1210</v>
      </c>
      <c r="C321">
        <v>449</v>
      </c>
      <c r="D321" t="s">
        <v>490</v>
      </c>
      <c r="E321" t="s">
        <v>8</v>
      </c>
      <c r="F321" t="s">
        <v>9</v>
      </c>
      <c r="G321" t="str">
        <f>A321</f>
        <v>PUNTO DE LA SUERTE 9 DE OCT</v>
      </c>
      <c r="H321" t="str">
        <f>+VLOOKUP(B321,[1]Hoja1!$A:$A,1,0)</f>
        <v>449</v>
      </c>
    </row>
    <row r="322" spans="1:8" x14ac:dyDescent="0.25">
      <c r="A322" t="s">
        <v>796</v>
      </c>
      <c r="B322" s="4" t="s">
        <v>797</v>
      </c>
      <c r="C322" t="s">
        <v>798</v>
      </c>
      <c r="D322" t="s">
        <v>799</v>
      </c>
      <c r="E322" t="s">
        <v>8</v>
      </c>
      <c r="F322" t="s">
        <v>9</v>
      </c>
      <c r="G322" t="s">
        <v>796</v>
      </c>
      <c r="H322" t="str">
        <f>+VLOOKUP(B322,[1]Hoja1!$A:$A,1,0)</f>
        <v>A0043</v>
      </c>
    </row>
    <row r="323" spans="1:8" x14ac:dyDescent="0.25">
      <c r="A323" t="s">
        <v>447</v>
      </c>
      <c r="B323" s="4" t="s">
        <v>1182</v>
      </c>
      <c r="C323">
        <v>419</v>
      </c>
      <c r="D323" t="s">
        <v>448</v>
      </c>
      <c r="E323" t="s">
        <v>8</v>
      </c>
      <c r="F323" t="s">
        <v>9</v>
      </c>
      <c r="G323" t="str">
        <f>A323</f>
        <v>PORTON 9 DE OCTUBRE MALECON</v>
      </c>
      <c r="H323" t="str">
        <f>+VLOOKUP(B323,[1]Hoja1!$A:$A,1,0)</f>
        <v>419</v>
      </c>
    </row>
    <row r="324" spans="1:8" x14ac:dyDescent="0.25">
      <c r="A324" t="s">
        <v>307</v>
      </c>
      <c r="B324" s="4" t="s">
        <v>1156</v>
      </c>
      <c r="C324">
        <v>297</v>
      </c>
      <c r="D324" t="s">
        <v>308</v>
      </c>
      <c r="E324" t="s">
        <v>229</v>
      </c>
      <c r="F324" t="s">
        <v>9</v>
      </c>
      <c r="G324" t="s">
        <v>864</v>
      </c>
      <c r="H324" t="str">
        <f>+VLOOKUP(B324,[1]Hoja1!$A:$A,1,0)</f>
        <v>297</v>
      </c>
    </row>
    <row r="325" spans="1:8" x14ac:dyDescent="0.25">
      <c r="A325" t="s">
        <v>864</v>
      </c>
      <c r="B325" s="4" t="s">
        <v>865</v>
      </c>
      <c r="C325" t="s">
        <v>866</v>
      </c>
      <c r="D325" t="s">
        <v>308</v>
      </c>
      <c r="E325" t="s">
        <v>229</v>
      </c>
      <c r="F325" t="s">
        <v>9</v>
      </c>
      <c r="G325" t="s">
        <v>864</v>
      </c>
      <c r="H325" t="str">
        <f>+VLOOKUP(B325,[1]Hoja1!$A:$A,1,0)</f>
        <v>A0066</v>
      </c>
    </row>
    <row r="326" spans="1:8" x14ac:dyDescent="0.25">
      <c r="A326" t="s">
        <v>730</v>
      </c>
      <c r="B326" s="4" t="s">
        <v>731</v>
      </c>
      <c r="C326" t="s">
        <v>732</v>
      </c>
      <c r="D326" t="s">
        <v>40</v>
      </c>
      <c r="E326" t="s">
        <v>8</v>
      </c>
      <c r="F326" t="s">
        <v>9</v>
      </c>
      <c r="G326" t="s">
        <v>730</v>
      </c>
      <c r="H326" t="str">
        <f>+VLOOKUP(B326,[1]Hoja1!$A:$A,1,0)</f>
        <v>A0021</v>
      </c>
    </row>
    <row r="327" spans="1:8" x14ac:dyDescent="0.25">
      <c r="A327" t="s">
        <v>39</v>
      </c>
      <c r="B327" s="4" t="s">
        <v>1149</v>
      </c>
      <c r="C327">
        <v>15</v>
      </c>
      <c r="D327" t="s">
        <v>40</v>
      </c>
      <c r="E327" t="s">
        <v>8</v>
      </c>
      <c r="F327" t="s">
        <v>9</v>
      </c>
      <c r="G327" t="s">
        <v>730</v>
      </c>
      <c r="H327" t="str">
        <f>+VLOOKUP(B327,[1]Hoja1!$A:$A,1,0)</f>
        <v>15</v>
      </c>
    </row>
    <row r="328" spans="1:8" x14ac:dyDescent="0.25">
      <c r="A328" t="s">
        <v>642</v>
      </c>
      <c r="B328" s="4" t="s">
        <v>1276</v>
      </c>
      <c r="C328">
        <v>551</v>
      </c>
      <c r="D328" t="s">
        <v>643</v>
      </c>
      <c r="E328" t="s">
        <v>8</v>
      </c>
      <c r="F328" t="s">
        <v>9</v>
      </c>
      <c r="G328" t="str">
        <f t="shared" ref="G328:G342" si="31">A328</f>
        <v>UNICENTRO SHOPPING</v>
      </c>
      <c r="H328" t="str">
        <f>+VLOOKUP(B328,[1]Hoja1!$A:$A,1,0)</f>
        <v>551</v>
      </c>
    </row>
    <row r="329" spans="1:8" x14ac:dyDescent="0.25">
      <c r="A329" t="s">
        <v>278</v>
      </c>
      <c r="B329" s="4" t="s">
        <v>1020</v>
      </c>
      <c r="C329">
        <v>268</v>
      </c>
      <c r="D329" t="s">
        <v>279</v>
      </c>
      <c r="E329" t="s">
        <v>8</v>
      </c>
      <c r="F329" t="s">
        <v>9</v>
      </c>
      <c r="G329" t="str">
        <f t="shared" si="31"/>
        <v>CARNISARIATO DELCORRAL GOME</v>
      </c>
      <c r="H329" t="str">
        <f>+VLOOKUP(B329,[1]Hoja1!$A:$A,1,0)</f>
        <v>268</v>
      </c>
    </row>
    <row r="330" spans="1:8" x14ac:dyDescent="0.25">
      <c r="A330" t="s">
        <v>225</v>
      </c>
      <c r="B330" s="4" t="s">
        <v>1254</v>
      </c>
      <c r="C330">
        <v>188</v>
      </c>
      <c r="D330" t="s">
        <v>226</v>
      </c>
      <c r="E330" t="s">
        <v>8</v>
      </c>
      <c r="F330" t="s">
        <v>9</v>
      </c>
      <c r="G330" t="str">
        <f t="shared" si="31"/>
        <v>TIA MERCADO CENTRAL</v>
      </c>
      <c r="H330" t="str">
        <f>+VLOOKUP(B330,[1]Hoja1!$A:$A,1,0)</f>
        <v>188</v>
      </c>
    </row>
    <row r="331" spans="1:8" x14ac:dyDescent="0.25">
      <c r="A331" t="s">
        <v>621</v>
      </c>
      <c r="B331" s="4" t="s">
        <v>1268</v>
      </c>
      <c r="C331">
        <v>540</v>
      </c>
      <c r="D331" t="s">
        <v>622</v>
      </c>
      <c r="E331" t="s">
        <v>8</v>
      </c>
      <c r="F331" t="s">
        <v>9</v>
      </c>
      <c r="G331" t="str">
        <f t="shared" si="31"/>
        <v>TUTI COLON Y LORENZO DE GARAICOA</v>
      </c>
      <c r="H331" t="str">
        <f>+VLOOKUP(B331,[1]Hoja1!$A:$A,1,0)</f>
        <v>540</v>
      </c>
    </row>
    <row r="332" spans="1:8" x14ac:dyDescent="0.25">
      <c r="A332" t="s">
        <v>272</v>
      </c>
      <c r="B332" s="4" t="s">
        <v>1229</v>
      </c>
      <c r="C332">
        <v>251</v>
      </c>
      <c r="D332" t="s">
        <v>273</v>
      </c>
      <c r="E332" t="s">
        <v>8</v>
      </c>
      <c r="F332" t="s">
        <v>9</v>
      </c>
      <c r="G332" t="str">
        <f t="shared" si="31"/>
        <v>SUPERMERCADO EL RANCHO</v>
      </c>
      <c r="H332" t="str">
        <f>+VLOOKUP(B332,[1]Hoja1!$A:$A,1,0)</f>
        <v>251</v>
      </c>
    </row>
    <row r="333" spans="1:8" x14ac:dyDescent="0.25">
      <c r="A333" t="s">
        <v>609</v>
      </c>
      <c r="B333" s="4" t="s">
        <v>1077</v>
      </c>
      <c r="C333">
        <v>532</v>
      </c>
      <c r="D333" t="s">
        <v>610</v>
      </c>
      <c r="E333" t="s">
        <v>8</v>
      </c>
      <c r="F333" t="s">
        <v>9</v>
      </c>
      <c r="G333" t="str">
        <f t="shared" si="31"/>
        <v>HYPER VIA A LA COSTA 2</v>
      </c>
      <c r="H333" t="str">
        <f>+VLOOKUP(B333,[1]Hoja1!$A:$A,1,0)</f>
        <v>532</v>
      </c>
    </row>
    <row r="334" spans="1:8" x14ac:dyDescent="0.25">
      <c r="A334" t="s">
        <v>45</v>
      </c>
      <c r="B334" s="4" t="s">
        <v>998</v>
      </c>
      <c r="C334">
        <v>19</v>
      </c>
      <c r="D334" t="s">
        <v>46</v>
      </c>
      <c r="E334" t="s">
        <v>8</v>
      </c>
      <c r="F334" t="s">
        <v>9</v>
      </c>
      <c r="G334" t="str">
        <f t="shared" si="31"/>
        <v>C.C. MALECON</v>
      </c>
      <c r="H334" t="str">
        <f>+VLOOKUP(B334,[1]Hoja1!$A:$A,1,0)</f>
        <v>19</v>
      </c>
    </row>
    <row r="335" spans="1:8" x14ac:dyDescent="0.25">
      <c r="A335" t="s">
        <v>280</v>
      </c>
      <c r="B335" s="4" t="s">
        <v>1259</v>
      </c>
      <c r="C335">
        <v>274</v>
      </c>
      <c r="D335" t="s">
        <v>281</v>
      </c>
      <c r="E335" t="s">
        <v>8</v>
      </c>
      <c r="F335" t="s">
        <v>9</v>
      </c>
      <c r="G335" t="str">
        <f t="shared" si="31"/>
        <v>TIA PORTETE Y LA 38</v>
      </c>
      <c r="H335" t="str">
        <f>+VLOOKUP(B335,[1]Hoja1!$A:$A,1,0)</f>
        <v>274</v>
      </c>
    </row>
    <row r="336" spans="1:8" x14ac:dyDescent="0.25">
      <c r="A336" t="s">
        <v>165</v>
      </c>
      <c r="B336" s="4" t="s">
        <v>1240</v>
      </c>
      <c r="C336">
        <v>116</v>
      </c>
      <c r="D336" t="s">
        <v>166</v>
      </c>
      <c r="E336" t="s">
        <v>8</v>
      </c>
      <c r="F336" t="s">
        <v>9</v>
      </c>
      <c r="G336" t="str">
        <f t="shared" si="31"/>
        <v>TIA AV. OLMEDO</v>
      </c>
      <c r="H336" t="str">
        <f>+VLOOKUP(B336,[1]Hoja1!$A:$A,1,0)</f>
        <v>116</v>
      </c>
    </row>
    <row r="337" spans="1:8" x14ac:dyDescent="0.25">
      <c r="A337" t="s">
        <v>619</v>
      </c>
      <c r="B337" s="4" t="s">
        <v>1102</v>
      </c>
      <c r="C337">
        <v>539</v>
      </c>
      <c r="D337" t="s">
        <v>620</v>
      </c>
      <c r="E337" t="s">
        <v>8</v>
      </c>
      <c r="F337" t="s">
        <v>9</v>
      </c>
      <c r="G337" t="str">
        <f t="shared" si="31"/>
        <v>MINI PLUS GOMEZ RENDON</v>
      </c>
      <c r="H337" t="str">
        <f>+VLOOKUP(B337,[1]Hoja1!$A:$A,1,0)</f>
        <v>539</v>
      </c>
    </row>
    <row r="338" spans="1:8" x14ac:dyDescent="0.25">
      <c r="A338" t="s">
        <v>171</v>
      </c>
      <c r="B338" s="4" t="s">
        <v>1181</v>
      </c>
      <c r="C338">
        <v>120</v>
      </c>
      <c r="D338" t="s">
        <v>172</v>
      </c>
      <c r="E338" t="s">
        <v>8</v>
      </c>
      <c r="F338" t="s">
        <v>9</v>
      </c>
      <c r="G338" t="str">
        <f t="shared" si="31"/>
        <v>PORTETE Y LA 17</v>
      </c>
      <c r="H338" t="str">
        <f>+VLOOKUP(B338,[1]Hoja1!$A:$A,1,0)</f>
        <v>120</v>
      </c>
    </row>
    <row r="339" spans="1:8" x14ac:dyDescent="0.25">
      <c r="A339" t="s">
        <v>380</v>
      </c>
      <c r="B339" s="4" t="s">
        <v>1070</v>
      </c>
      <c r="C339">
        <v>372</v>
      </c>
      <c r="D339" t="s">
        <v>381</v>
      </c>
      <c r="E339" t="s">
        <v>8</v>
      </c>
      <c r="F339" t="s">
        <v>9</v>
      </c>
      <c r="G339" t="str">
        <f t="shared" si="31"/>
        <v>HOSP. NIÑO GOMEZ RENDON</v>
      </c>
      <c r="H339" t="str">
        <f>+VLOOKUP(B339,[1]Hoja1!$A:$A,1,0)</f>
        <v>372</v>
      </c>
    </row>
    <row r="340" spans="1:8" x14ac:dyDescent="0.25">
      <c r="A340" t="s">
        <v>525</v>
      </c>
      <c r="B340" s="4" t="s">
        <v>1057</v>
      </c>
      <c r="C340">
        <v>474</v>
      </c>
      <c r="D340" t="s">
        <v>526</v>
      </c>
      <c r="E340" t="s">
        <v>8</v>
      </c>
      <c r="F340" t="s">
        <v>9</v>
      </c>
      <c r="G340" t="str">
        <f t="shared" si="31"/>
        <v>GAS. PETROMAR</v>
      </c>
      <c r="H340" t="str">
        <f>+VLOOKUP(B340,[1]Hoja1!$A:$A,1,0)</f>
        <v>474</v>
      </c>
    </row>
    <row r="341" spans="1:8" x14ac:dyDescent="0.25">
      <c r="A341" t="s">
        <v>532</v>
      </c>
      <c r="B341" s="4" t="s">
        <v>1091</v>
      </c>
      <c r="C341">
        <v>480</v>
      </c>
      <c r="D341" t="s">
        <v>533</v>
      </c>
      <c r="E341" t="s">
        <v>214</v>
      </c>
      <c r="F341" t="s">
        <v>89</v>
      </c>
      <c r="G341" t="str">
        <f t="shared" si="31"/>
        <v>MALECON DE SALINAS</v>
      </c>
      <c r="H341" t="str">
        <f>+VLOOKUP(B341,[1]Hoja1!$A:$A,1,0)</f>
        <v>480</v>
      </c>
    </row>
    <row r="342" spans="1:8" x14ac:dyDescent="0.25">
      <c r="A342" t="s">
        <v>212</v>
      </c>
      <c r="B342" s="4" t="s">
        <v>1108</v>
      </c>
      <c r="C342">
        <v>160</v>
      </c>
      <c r="D342" t="s">
        <v>213</v>
      </c>
      <c r="E342" t="s">
        <v>214</v>
      </c>
      <c r="F342" t="s">
        <v>89</v>
      </c>
      <c r="G342" t="str">
        <f t="shared" si="31"/>
        <v>NATURISSIMO</v>
      </c>
      <c r="H342" t="str">
        <f>+VLOOKUP(B342,[1]Hoja1!$A:$A,1,0)</f>
        <v>160</v>
      </c>
    </row>
    <row r="343" spans="1:8" x14ac:dyDescent="0.25">
      <c r="A343" t="s">
        <v>845</v>
      </c>
      <c r="B343" s="4" t="s">
        <v>846</v>
      </c>
      <c r="C343" t="s">
        <v>847</v>
      </c>
      <c r="D343" t="s">
        <v>115</v>
      </c>
      <c r="E343" t="s">
        <v>116</v>
      </c>
      <c r="F343" t="s">
        <v>9</v>
      </c>
      <c r="G343" t="s">
        <v>845</v>
      </c>
      <c r="H343" t="str">
        <f>+VLOOKUP(B343,[1]Hoja1!$A:$A,1,0)</f>
        <v>A0060</v>
      </c>
    </row>
    <row r="344" spans="1:8" x14ac:dyDescent="0.25">
      <c r="A344" t="s">
        <v>114</v>
      </c>
      <c r="B344" s="4" t="s">
        <v>1140</v>
      </c>
      <c r="C344">
        <v>67</v>
      </c>
      <c r="D344" t="s">
        <v>115</v>
      </c>
      <c r="E344" t="s">
        <v>116</v>
      </c>
      <c r="F344" t="s">
        <v>9</v>
      </c>
      <c r="G344" t="s">
        <v>845</v>
      </c>
      <c r="H344" t="str">
        <f>+VLOOKUP(B344,[1]Hoja1!$A:$A,1,0)</f>
        <v>67</v>
      </c>
    </row>
    <row r="345" spans="1:8" x14ac:dyDescent="0.25">
      <c r="A345" t="s">
        <v>195</v>
      </c>
      <c r="B345" s="4" t="s">
        <v>1048</v>
      </c>
      <c r="C345">
        <v>151</v>
      </c>
      <c r="D345" t="s">
        <v>196</v>
      </c>
      <c r="E345" t="s">
        <v>8</v>
      </c>
      <c r="F345" t="s">
        <v>9</v>
      </c>
      <c r="G345" t="str">
        <f t="shared" ref="G345:G349" si="32">A345</f>
        <v>FARM. VICTORIA 29 Y ORIENTE</v>
      </c>
      <c r="H345" t="str">
        <f>+VLOOKUP(B345,[1]Hoja1!$A:$A,1,0)</f>
        <v>151</v>
      </c>
    </row>
    <row r="346" spans="1:8" x14ac:dyDescent="0.25">
      <c r="A346" t="s">
        <v>394</v>
      </c>
      <c r="B346" s="4" t="s">
        <v>1079</v>
      </c>
      <c r="C346">
        <v>388</v>
      </c>
      <c r="D346" t="s">
        <v>395</v>
      </c>
      <c r="E346" t="s">
        <v>396</v>
      </c>
      <c r="F346" t="s">
        <v>89</v>
      </c>
      <c r="G346" t="str">
        <f t="shared" si="32"/>
        <v>HYPERMARKET BALLENITA</v>
      </c>
      <c r="H346" t="str">
        <f>+VLOOKUP(B346,[1]Hoja1!$A:$A,1,0)</f>
        <v>388</v>
      </c>
    </row>
    <row r="347" spans="1:8" x14ac:dyDescent="0.25">
      <c r="A347" t="s">
        <v>320</v>
      </c>
      <c r="B347" s="4" t="s">
        <v>1209</v>
      </c>
      <c r="C347">
        <v>316</v>
      </c>
      <c r="D347" t="s">
        <v>321</v>
      </c>
      <c r="E347" t="s">
        <v>229</v>
      </c>
      <c r="F347" t="s">
        <v>9</v>
      </c>
      <c r="G347" t="str">
        <f t="shared" si="32"/>
        <v>PROMARISCO</v>
      </c>
      <c r="H347" t="str">
        <f>+VLOOKUP(B347,[1]Hoja1!$A:$A,1,0)</f>
        <v>316</v>
      </c>
    </row>
    <row r="348" spans="1:8" x14ac:dyDescent="0.25">
      <c r="A348" t="s">
        <v>514</v>
      </c>
      <c r="B348" s="4" t="s">
        <v>1060</v>
      </c>
      <c r="C348">
        <v>464</v>
      </c>
      <c r="D348" t="s">
        <v>515</v>
      </c>
      <c r="E348" t="s">
        <v>229</v>
      </c>
      <c r="F348" t="s">
        <v>9</v>
      </c>
      <c r="G348" t="str">
        <f t="shared" si="32"/>
        <v>GISIS</v>
      </c>
      <c r="H348" t="str">
        <f>+VLOOKUP(B348,[1]Hoja1!$A:$A,1,0)</f>
        <v>464</v>
      </c>
    </row>
    <row r="349" spans="1:8" x14ac:dyDescent="0.25">
      <c r="A349" t="s">
        <v>43</v>
      </c>
      <c r="B349" s="4" t="s">
        <v>1059</v>
      </c>
      <c r="C349">
        <v>17</v>
      </c>
      <c r="D349" t="s">
        <v>44</v>
      </c>
      <c r="E349" t="s">
        <v>8</v>
      </c>
      <c r="F349" t="s">
        <v>9</v>
      </c>
      <c r="G349" t="str">
        <f t="shared" si="32"/>
        <v>GAS. TERPEL VIA COSTA</v>
      </c>
      <c r="H349" t="str">
        <f>+VLOOKUP(B349,[1]Hoja1!$A:$A,1,0)</f>
        <v>17</v>
      </c>
    </row>
    <row r="350" spans="1:8" x14ac:dyDescent="0.25">
      <c r="A350" t="s">
        <v>684</v>
      </c>
      <c r="B350" s="4" t="s">
        <v>685</v>
      </c>
      <c r="C350" t="s">
        <v>686</v>
      </c>
      <c r="D350" t="s">
        <v>29</v>
      </c>
      <c r="E350" t="s">
        <v>8</v>
      </c>
      <c r="F350" t="s">
        <v>9</v>
      </c>
      <c r="G350" t="s">
        <v>684</v>
      </c>
      <c r="H350" t="str">
        <f>+VLOOKUP(B350,[1]Hoja1!$A:$A,1,0)</f>
        <v>A0006</v>
      </c>
    </row>
    <row r="351" spans="1:8" x14ac:dyDescent="0.25">
      <c r="A351" t="s">
        <v>28</v>
      </c>
      <c r="B351" s="4" t="s">
        <v>1123</v>
      </c>
      <c r="C351">
        <v>9</v>
      </c>
      <c r="D351" t="s">
        <v>29</v>
      </c>
      <c r="E351" t="s">
        <v>8</v>
      </c>
      <c r="F351" t="s">
        <v>9</v>
      </c>
      <c r="G351" t="s">
        <v>684</v>
      </c>
      <c r="H351" t="str">
        <f>+VLOOKUP(B351,[1]Hoja1!$A:$A,1,0)</f>
        <v>9</v>
      </c>
    </row>
    <row r="352" spans="1:8" x14ac:dyDescent="0.25">
      <c r="A352" t="s">
        <v>253</v>
      </c>
      <c r="B352" s="4" t="s">
        <v>1124</v>
      </c>
      <c r="C352">
        <v>219</v>
      </c>
      <c r="D352" t="s">
        <v>29</v>
      </c>
      <c r="E352" t="s">
        <v>8</v>
      </c>
      <c r="F352" t="s">
        <v>9</v>
      </c>
      <c r="G352" t="s">
        <v>684</v>
      </c>
      <c r="H352" t="str">
        <f>+VLOOKUP(B352,[1]Hoja1!$A:$A,1,0)</f>
        <v>219</v>
      </c>
    </row>
    <row r="353" spans="1:8" x14ac:dyDescent="0.25">
      <c r="A353" t="s">
        <v>699</v>
      </c>
      <c r="B353" s="4" t="s">
        <v>700</v>
      </c>
      <c r="C353" t="s">
        <v>701</v>
      </c>
      <c r="D353" t="s">
        <v>87</v>
      </c>
      <c r="E353" t="s">
        <v>88</v>
      </c>
      <c r="F353" t="s">
        <v>89</v>
      </c>
      <c r="G353" t="s">
        <v>699</v>
      </c>
      <c r="H353" t="str">
        <f>+VLOOKUP(B353,[1]Hoja1!$A:$A,1,0)</f>
        <v>A0011</v>
      </c>
    </row>
    <row r="354" spans="1:8" x14ac:dyDescent="0.25">
      <c r="A354" t="s">
        <v>86</v>
      </c>
      <c r="B354" s="4" t="s">
        <v>1134</v>
      </c>
      <c r="C354">
        <v>54</v>
      </c>
      <c r="D354" t="s">
        <v>87</v>
      </c>
      <c r="E354" t="s">
        <v>88</v>
      </c>
      <c r="F354" t="s">
        <v>89</v>
      </c>
      <c r="G354" t="s">
        <v>699</v>
      </c>
      <c r="H354" t="str">
        <f>+VLOOKUP(B354,[1]Hoja1!$A:$A,1,0)</f>
        <v>54</v>
      </c>
    </row>
    <row r="355" spans="1:8" x14ac:dyDescent="0.25">
      <c r="A355" t="s">
        <v>375</v>
      </c>
      <c r="B355" s="4" t="s">
        <v>1135</v>
      </c>
      <c r="C355">
        <v>369</v>
      </c>
      <c r="D355" t="s">
        <v>87</v>
      </c>
      <c r="E355" t="s">
        <v>88</v>
      </c>
      <c r="F355" t="s">
        <v>89</v>
      </c>
      <c r="G355" t="s">
        <v>699</v>
      </c>
      <c r="H355" t="str">
        <f>+VLOOKUP(B355,[1]Hoja1!$A:$A,1,0)</f>
        <v>369</v>
      </c>
    </row>
    <row r="356" spans="1:8" x14ac:dyDescent="0.25">
      <c r="A356" t="s">
        <v>110</v>
      </c>
      <c r="B356" s="4" t="s">
        <v>1002</v>
      </c>
      <c r="C356">
        <v>65</v>
      </c>
      <c r="D356" t="s">
        <v>111</v>
      </c>
      <c r="E356" t="s">
        <v>88</v>
      </c>
      <c r="F356" t="s">
        <v>89</v>
      </c>
      <c r="G356" t="str">
        <f>A356</f>
        <v>C.C. PASEO LIBERTAD</v>
      </c>
      <c r="H356" t="str">
        <f>+VLOOKUP(B356,[1]Hoja1!$A:$A,1,0)</f>
        <v>65</v>
      </c>
    </row>
    <row r="357" spans="1:8" x14ac:dyDescent="0.25">
      <c r="A357" t="s">
        <v>824</v>
      </c>
      <c r="B357" s="4" t="s">
        <v>825</v>
      </c>
      <c r="C357" t="s">
        <v>826</v>
      </c>
      <c r="D357" t="s">
        <v>61</v>
      </c>
      <c r="E357" t="s">
        <v>8</v>
      </c>
      <c r="F357" t="s">
        <v>9</v>
      </c>
      <c r="G357" t="s">
        <v>824</v>
      </c>
      <c r="H357" t="str">
        <f>+VLOOKUP(B357,[1]Hoja1!$A:$A,1,0)</f>
        <v>A0053</v>
      </c>
    </row>
    <row r="358" spans="1:8" x14ac:dyDescent="0.25">
      <c r="A358" t="s">
        <v>60</v>
      </c>
      <c r="B358" s="4" t="s">
        <v>1126</v>
      </c>
      <c r="C358">
        <v>33</v>
      </c>
      <c r="D358" t="s">
        <v>61</v>
      </c>
      <c r="E358" t="s">
        <v>8</v>
      </c>
      <c r="F358" t="s">
        <v>9</v>
      </c>
      <c r="G358" t="s">
        <v>824</v>
      </c>
      <c r="H358" t="str">
        <f>+VLOOKUP(B358,[1]Hoja1!$A:$A,1,0)</f>
        <v>33</v>
      </c>
    </row>
    <row r="359" spans="1:8" x14ac:dyDescent="0.25">
      <c r="A359" t="s">
        <v>173</v>
      </c>
      <c r="B359" s="4" t="s">
        <v>1262</v>
      </c>
      <c r="C359">
        <v>123</v>
      </c>
      <c r="D359" t="s">
        <v>174</v>
      </c>
      <c r="E359" t="s">
        <v>89</v>
      </c>
      <c r="F359" t="s">
        <v>89</v>
      </c>
      <c r="G359" t="str">
        <f>A359</f>
        <v>TIA SANTA ELENA</v>
      </c>
      <c r="H359" t="str">
        <f>+VLOOKUP(B359,[1]Hoja1!$A:$A,1,0)</f>
        <v>123</v>
      </c>
    </row>
    <row r="360" spans="1:8" x14ac:dyDescent="0.25">
      <c r="A360" t="s">
        <v>141</v>
      </c>
      <c r="B360" s="4" t="s">
        <v>999</v>
      </c>
      <c r="C360">
        <v>93</v>
      </c>
      <c r="D360" t="s">
        <v>142</v>
      </c>
      <c r="E360" t="s">
        <v>8</v>
      </c>
      <c r="F360" t="s">
        <v>9</v>
      </c>
      <c r="G360" t="s">
        <v>720</v>
      </c>
      <c r="H360" t="str">
        <f>+VLOOKUP(B360,[1]Hoja1!$A:$A,1,0)</f>
        <v>93</v>
      </c>
    </row>
    <row r="361" spans="1:8" x14ac:dyDescent="0.25">
      <c r="A361" t="s">
        <v>181</v>
      </c>
      <c r="B361" s="4" t="s">
        <v>1000</v>
      </c>
      <c r="C361">
        <v>140</v>
      </c>
      <c r="D361" t="s">
        <v>142</v>
      </c>
      <c r="E361" t="s">
        <v>8</v>
      </c>
      <c r="F361" t="s">
        <v>9</v>
      </c>
      <c r="G361" t="s">
        <v>720</v>
      </c>
      <c r="H361" t="str">
        <f>+VLOOKUP(B361,[1]Hoja1!$A:$A,1,0)</f>
        <v>140</v>
      </c>
    </row>
    <row r="362" spans="1:8" x14ac:dyDescent="0.25">
      <c r="A362" t="s">
        <v>383</v>
      </c>
      <c r="B362" s="4" t="s">
        <v>1024</v>
      </c>
      <c r="C362">
        <v>375</v>
      </c>
      <c r="D362" t="s">
        <v>142</v>
      </c>
      <c r="E362" t="s">
        <v>8</v>
      </c>
      <c r="F362" t="s">
        <v>9</v>
      </c>
      <c r="G362" t="s">
        <v>720</v>
      </c>
      <c r="H362" t="str">
        <f>+VLOOKUP(B362,[1]Hoja1!$A:$A,1,0)</f>
        <v>375</v>
      </c>
    </row>
    <row r="363" spans="1:8" x14ac:dyDescent="0.25">
      <c r="A363" t="s">
        <v>720</v>
      </c>
      <c r="B363" s="4" t="s">
        <v>721</v>
      </c>
      <c r="C363" t="s">
        <v>722</v>
      </c>
      <c r="D363" t="s">
        <v>142</v>
      </c>
      <c r="E363" t="s">
        <v>8</v>
      </c>
      <c r="F363" t="s">
        <v>9</v>
      </c>
      <c r="G363" t="s">
        <v>720</v>
      </c>
      <c r="H363" t="str">
        <f>+VLOOKUP(B363,[1]Hoja1!$A:$A,1,0)</f>
        <v>A0018</v>
      </c>
    </row>
    <row r="364" spans="1:8" x14ac:dyDescent="0.25">
      <c r="A364" t="s">
        <v>78</v>
      </c>
      <c r="B364" s="4" t="s">
        <v>1184</v>
      </c>
      <c r="C364">
        <v>47</v>
      </c>
      <c r="D364" t="s">
        <v>79</v>
      </c>
      <c r="E364" t="s">
        <v>8</v>
      </c>
      <c r="F364" t="s">
        <v>9</v>
      </c>
      <c r="G364" t="str">
        <f t="shared" ref="G364:G365" si="33">A364</f>
        <v>PRIMAX 25 DE JULIO</v>
      </c>
      <c r="H364" t="str">
        <f>+VLOOKUP(B364,[1]Hoja1!$A:$A,1,0)</f>
        <v>47</v>
      </c>
    </row>
    <row r="365" spans="1:8" x14ac:dyDescent="0.25">
      <c r="A365" t="s">
        <v>615</v>
      </c>
      <c r="B365" s="4" t="s">
        <v>1267</v>
      </c>
      <c r="C365">
        <v>537</v>
      </c>
      <c r="D365" t="s">
        <v>616</v>
      </c>
      <c r="E365" t="s">
        <v>8</v>
      </c>
      <c r="F365" t="s">
        <v>9</v>
      </c>
      <c r="G365" t="str">
        <f t="shared" si="33"/>
        <v>TUTI CHONGON</v>
      </c>
      <c r="H365" t="str">
        <f>+VLOOKUP(B365,[1]Hoja1!$A:$A,1,0)</f>
        <v>537</v>
      </c>
    </row>
    <row r="366" spans="1:8" x14ac:dyDescent="0.25">
      <c r="A366" t="s">
        <v>130</v>
      </c>
      <c r="B366" s="4" t="s">
        <v>1012</v>
      </c>
      <c r="C366">
        <v>86</v>
      </c>
      <c r="D366" t="s">
        <v>131</v>
      </c>
      <c r="E366" t="s">
        <v>8</v>
      </c>
      <c r="F366" t="s">
        <v>9</v>
      </c>
      <c r="G366" t="s">
        <v>836</v>
      </c>
      <c r="H366" t="str">
        <f>+VLOOKUP(B366,[1]Hoja1!$A:$A,1,0)</f>
        <v>86</v>
      </c>
    </row>
    <row r="367" spans="1:8" x14ac:dyDescent="0.25">
      <c r="A367" t="s">
        <v>836</v>
      </c>
      <c r="B367" s="4" t="s">
        <v>837</v>
      </c>
      <c r="C367" t="s">
        <v>838</v>
      </c>
      <c r="D367" t="s">
        <v>131</v>
      </c>
      <c r="E367" t="s">
        <v>8</v>
      </c>
      <c r="F367" t="s">
        <v>9</v>
      </c>
      <c r="G367" t="s">
        <v>836</v>
      </c>
      <c r="H367" t="str">
        <f>+VLOOKUP(B367,[1]Hoja1!$A:$A,1,0)</f>
        <v>A0057</v>
      </c>
    </row>
    <row r="368" spans="1:8" x14ac:dyDescent="0.25">
      <c r="A368" t="s">
        <v>191</v>
      </c>
      <c r="B368" s="4" t="s">
        <v>1252</v>
      </c>
      <c r="C368">
        <v>146</v>
      </c>
      <c r="D368" t="s">
        <v>192</v>
      </c>
      <c r="E368" t="s">
        <v>8</v>
      </c>
      <c r="F368" t="s">
        <v>9</v>
      </c>
      <c r="G368" t="str">
        <f t="shared" ref="G368:G374" si="34">A368</f>
        <v>TIA LOS ESTEROS</v>
      </c>
      <c r="H368" t="str">
        <f>+VLOOKUP(B368,[1]Hoja1!$A:$A,1,0)</f>
        <v>146</v>
      </c>
    </row>
    <row r="369" spans="1:8" x14ac:dyDescent="0.25">
      <c r="A369" t="s">
        <v>265</v>
      </c>
      <c r="B369" s="4" t="s">
        <v>1053</v>
      </c>
      <c r="C369">
        <v>247</v>
      </c>
      <c r="D369" t="s">
        <v>266</v>
      </c>
      <c r="E369" t="s">
        <v>8</v>
      </c>
      <c r="F369" t="s">
        <v>9</v>
      </c>
      <c r="G369" t="str">
        <f t="shared" si="34"/>
        <v>GAS. HERMANO MIGUEL AV. 25</v>
      </c>
      <c r="H369" t="str">
        <f>+VLOOKUP(B369,[1]Hoja1!$A:$A,1,0)</f>
        <v>247</v>
      </c>
    </row>
    <row r="370" spans="1:8" x14ac:dyDescent="0.25">
      <c r="A370" t="s">
        <v>223</v>
      </c>
      <c r="B370" s="4" t="s">
        <v>1249</v>
      </c>
      <c r="C370">
        <v>185</v>
      </c>
      <c r="D370" t="s">
        <v>224</v>
      </c>
      <c r="E370" t="s">
        <v>8</v>
      </c>
      <c r="F370" t="s">
        <v>9</v>
      </c>
      <c r="G370" t="str">
        <f t="shared" si="34"/>
        <v>TIA LA FLORESTA</v>
      </c>
      <c r="H370" t="str">
        <f>+VLOOKUP(B370,[1]Hoja1!$A:$A,1,0)</f>
        <v>185</v>
      </c>
    </row>
    <row r="371" spans="1:8" x14ac:dyDescent="0.25">
      <c r="A371" t="s">
        <v>292</v>
      </c>
      <c r="B371" s="4" t="s">
        <v>1206</v>
      </c>
      <c r="C371">
        <v>284</v>
      </c>
      <c r="D371" t="s">
        <v>293</v>
      </c>
      <c r="E371" t="s">
        <v>8</v>
      </c>
      <c r="F371" t="s">
        <v>9</v>
      </c>
      <c r="G371" t="str">
        <f t="shared" si="34"/>
        <v>PRIMAX, AV. 25 DE JULIO Y 1</v>
      </c>
      <c r="H371" t="str">
        <f>+VLOOKUP(B371,[1]Hoja1!$A:$A,1,0)</f>
        <v>284</v>
      </c>
    </row>
    <row r="372" spans="1:8" x14ac:dyDescent="0.25">
      <c r="A372" t="s">
        <v>397</v>
      </c>
      <c r="B372" s="4" t="s">
        <v>1245</v>
      </c>
      <c r="C372">
        <v>389</v>
      </c>
      <c r="D372" t="s">
        <v>398</v>
      </c>
      <c r="E372" t="s">
        <v>8</v>
      </c>
      <c r="F372" t="s">
        <v>9</v>
      </c>
      <c r="G372" t="str">
        <f t="shared" si="34"/>
        <v>TIA ESCLUSAS</v>
      </c>
      <c r="H372" t="str">
        <f>+VLOOKUP(B372,[1]Hoja1!$A:$A,1,0)</f>
        <v>389</v>
      </c>
    </row>
    <row r="373" spans="1:8" x14ac:dyDescent="0.25">
      <c r="A373" t="s">
        <v>445</v>
      </c>
      <c r="B373" s="4" t="s">
        <v>1084</v>
      </c>
      <c r="C373">
        <v>418</v>
      </c>
      <c r="D373" t="s">
        <v>446</v>
      </c>
      <c r="E373" t="s">
        <v>8</v>
      </c>
      <c r="F373" t="s">
        <v>9</v>
      </c>
      <c r="G373" t="str">
        <f t="shared" si="34"/>
        <v>KFC EXPRESS LAS ESCLUSAS</v>
      </c>
      <c r="H373" t="str">
        <f>+VLOOKUP(B373,[1]Hoja1!$A:$A,1,0)</f>
        <v>418</v>
      </c>
    </row>
    <row r="374" spans="1:8" x14ac:dyDescent="0.25">
      <c r="A374" t="s">
        <v>258</v>
      </c>
      <c r="B374" s="4" t="s">
        <v>1052</v>
      </c>
      <c r="C374">
        <v>233</v>
      </c>
      <c r="D374" t="s">
        <v>259</v>
      </c>
      <c r="E374" t="s">
        <v>8</v>
      </c>
      <c r="F374" t="s">
        <v>9</v>
      </c>
      <c r="G374" t="str">
        <f t="shared" si="34"/>
        <v>GAS PETROCOMERCIAL SUR</v>
      </c>
      <c r="H374" t="str">
        <f>+VLOOKUP(B374,[1]Hoja1!$A:$A,1,0)</f>
        <v>233</v>
      </c>
    </row>
    <row r="375" spans="1:8" x14ac:dyDescent="0.25">
      <c r="A375" t="s">
        <v>234</v>
      </c>
      <c r="B375" s="4" t="s">
        <v>985</v>
      </c>
      <c r="C375">
        <v>195</v>
      </c>
      <c r="D375" t="s">
        <v>235</v>
      </c>
      <c r="E375" t="s">
        <v>8</v>
      </c>
      <c r="F375" t="s">
        <v>9</v>
      </c>
      <c r="G375" t="s">
        <v>858</v>
      </c>
      <c r="H375" t="str">
        <f>+VLOOKUP(B375,[1]Hoja1!$A:$A,1,0)</f>
        <v>195</v>
      </c>
    </row>
    <row r="376" spans="1:8" x14ac:dyDescent="0.25">
      <c r="A376" t="s">
        <v>858</v>
      </c>
      <c r="B376" s="4" t="s">
        <v>859</v>
      </c>
      <c r="C376" t="s">
        <v>860</v>
      </c>
      <c r="D376" t="s">
        <v>235</v>
      </c>
      <c r="E376" t="s">
        <v>8</v>
      </c>
      <c r="F376" t="s">
        <v>9</v>
      </c>
      <c r="G376" t="s">
        <v>858</v>
      </c>
      <c r="H376" t="str">
        <f>+VLOOKUP(B376,[1]Hoja1!$A:$A,1,0)</f>
        <v>A0064</v>
      </c>
    </row>
    <row r="377" spans="1:8" x14ac:dyDescent="0.25">
      <c r="A377" t="s">
        <v>309</v>
      </c>
      <c r="B377" s="4" t="s">
        <v>1034</v>
      </c>
      <c r="C377">
        <v>299</v>
      </c>
      <c r="D377" t="s">
        <v>310</v>
      </c>
      <c r="E377" t="s">
        <v>8</v>
      </c>
      <c r="F377" t="s">
        <v>9</v>
      </c>
      <c r="G377" t="str">
        <f>A377</f>
        <v>CONTECOM AV. DE LA MARINA,</v>
      </c>
      <c r="H377" t="str">
        <f>+VLOOKUP(B377,[1]Hoja1!$A:$A,1,0)</f>
        <v>299</v>
      </c>
    </row>
    <row r="378" spans="1:8" x14ac:dyDescent="0.25">
      <c r="A378" t="s">
        <v>702</v>
      </c>
      <c r="B378" s="4" t="s">
        <v>703</v>
      </c>
      <c r="C378" t="s">
        <v>704</v>
      </c>
      <c r="D378" t="s">
        <v>97</v>
      </c>
      <c r="E378" t="s">
        <v>98</v>
      </c>
      <c r="F378" t="s">
        <v>99</v>
      </c>
      <c r="G378" t="s">
        <v>702</v>
      </c>
      <c r="H378" t="str">
        <f>+VLOOKUP(B378,[1]Hoja1!$A:$A,1,0)</f>
        <v>A0012</v>
      </c>
    </row>
    <row r="379" spans="1:8" x14ac:dyDescent="0.25">
      <c r="A379" t="s">
        <v>96</v>
      </c>
      <c r="B379" s="4" t="s">
        <v>1131</v>
      </c>
      <c r="C379">
        <v>60</v>
      </c>
      <c r="D379" t="s">
        <v>97</v>
      </c>
      <c r="E379" t="s">
        <v>98</v>
      </c>
      <c r="F379" t="s">
        <v>99</v>
      </c>
      <c r="G379" t="s">
        <v>702</v>
      </c>
      <c r="H379" t="str">
        <f>+VLOOKUP(B379,[1]Hoja1!$A:$A,1,0)</f>
        <v>60</v>
      </c>
    </row>
    <row r="380" spans="1:8" x14ac:dyDescent="0.25">
      <c r="A380" t="s">
        <v>393</v>
      </c>
      <c r="B380" s="4" t="s">
        <v>1132</v>
      </c>
      <c r="C380">
        <v>387</v>
      </c>
      <c r="D380" t="s">
        <v>97</v>
      </c>
      <c r="E380" t="s">
        <v>98</v>
      </c>
      <c r="F380" t="s">
        <v>99</v>
      </c>
      <c r="G380" t="s">
        <v>702</v>
      </c>
      <c r="H380" t="str">
        <f>+VLOOKUP(B380,[1]Hoja1!$A:$A,1,0)</f>
        <v>387</v>
      </c>
    </row>
    <row r="381" spans="1:8" x14ac:dyDescent="0.25">
      <c r="A381" t="s">
        <v>574</v>
      </c>
      <c r="B381" s="4" t="s">
        <v>1200</v>
      </c>
      <c r="C381">
        <v>514</v>
      </c>
      <c r="D381" t="s">
        <v>575</v>
      </c>
      <c r="E381" t="s">
        <v>576</v>
      </c>
      <c r="F381" t="s">
        <v>9</v>
      </c>
      <c r="G381" t="str">
        <f t="shared" ref="G381:G382" si="35">A381</f>
        <v>PRIMAX LA BOTELLA PLAYAS</v>
      </c>
      <c r="H381" t="str">
        <f>+VLOOKUP(B381,[1]Hoja1!$A:$A,1,0)</f>
        <v>514</v>
      </c>
    </row>
    <row r="382" spans="1:8" x14ac:dyDescent="0.25">
      <c r="A382" t="s">
        <v>269</v>
      </c>
      <c r="B382" s="4" t="s">
        <v>1030</v>
      </c>
      <c r="C382">
        <v>250</v>
      </c>
      <c r="D382" t="s">
        <v>270</v>
      </c>
      <c r="E382" t="s">
        <v>271</v>
      </c>
      <c r="F382" t="s">
        <v>9</v>
      </c>
      <c r="G382" t="str">
        <f t="shared" si="35"/>
        <v>CENTRO PLAYAS</v>
      </c>
      <c r="H382" t="str">
        <f>+VLOOKUP(B382,[1]Hoja1!$A:$A,1,0)</f>
        <v>250</v>
      </c>
    </row>
    <row r="383" spans="1:8" x14ac:dyDescent="0.25">
      <c r="A383" t="s">
        <v>851</v>
      </c>
      <c r="B383" s="4" t="s">
        <v>852</v>
      </c>
      <c r="C383" t="s">
        <v>853</v>
      </c>
      <c r="D383" t="s">
        <v>354</v>
      </c>
      <c r="E383" t="s">
        <v>271</v>
      </c>
      <c r="F383" t="s">
        <v>9</v>
      </c>
      <c r="G383" t="s">
        <v>851</v>
      </c>
      <c r="H383" t="str">
        <f>+VLOOKUP(B383,[1]Hoja1!$A:$A,1,0)</f>
        <v>A0062</v>
      </c>
    </row>
    <row r="384" spans="1:8" x14ac:dyDescent="0.25">
      <c r="A384" t="s">
        <v>353</v>
      </c>
      <c r="B384" s="4" t="s">
        <v>1225</v>
      </c>
      <c r="C384">
        <v>349</v>
      </c>
      <c r="D384" t="s">
        <v>354</v>
      </c>
      <c r="E384" t="s">
        <v>271</v>
      </c>
      <c r="F384" t="s">
        <v>9</v>
      </c>
      <c r="G384" t="s">
        <v>851</v>
      </c>
      <c r="H384" t="str">
        <f>+VLOOKUP(B384,[1]Hoja1!$A:$A,1,0)</f>
        <v>349</v>
      </c>
    </row>
    <row r="385" spans="1:8" x14ac:dyDescent="0.25">
      <c r="A385" t="s">
        <v>147</v>
      </c>
      <c r="B385" s="4" t="s">
        <v>1183</v>
      </c>
      <c r="C385">
        <v>101</v>
      </c>
      <c r="D385" t="s">
        <v>148</v>
      </c>
      <c r="E385" t="s">
        <v>149</v>
      </c>
      <c r="F385" t="s">
        <v>9</v>
      </c>
      <c r="G385" t="s">
        <v>803</v>
      </c>
      <c r="H385" t="str">
        <f>+VLOOKUP(B385,[1]Hoja1!$A:$A,1,0)</f>
        <v>101</v>
      </c>
    </row>
    <row r="386" spans="1:8" x14ac:dyDescent="0.25">
      <c r="A386" t="s">
        <v>803</v>
      </c>
      <c r="B386" s="4" t="s">
        <v>804</v>
      </c>
      <c r="C386" t="s">
        <v>805</v>
      </c>
      <c r="D386" t="s">
        <v>148</v>
      </c>
      <c r="E386" t="s">
        <v>149</v>
      </c>
      <c r="F386" t="s">
        <v>9</v>
      </c>
      <c r="G386" t="s">
        <v>803</v>
      </c>
      <c r="H386" t="str">
        <f>+VLOOKUP(B386,[1]Hoja1!$A:$A,1,0)</f>
        <v>A0046</v>
      </c>
    </row>
    <row r="387" spans="1:8" x14ac:dyDescent="0.25">
      <c r="A387" t="s">
        <v>403</v>
      </c>
      <c r="B387" s="4" t="s">
        <v>1260</v>
      </c>
      <c r="C387">
        <v>393</v>
      </c>
      <c r="D387" t="s">
        <v>404</v>
      </c>
      <c r="E387" t="s">
        <v>149</v>
      </c>
      <c r="F387" t="s">
        <v>9</v>
      </c>
      <c r="G387" t="str">
        <f>A387</f>
        <v>TIA POSORJA</v>
      </c>
      <c r="H387" t="str">
        <f>+VLOOKUP(B387,[1]Hoja1!$A:$A,1,0)</f>
        <v>393</v>
      </c>
    </row>
    <row r="388" spans="1:8" x14ac:dyDescent="0.25">
      <c r="A388" t="s">
        <v>882</v>
      </c>
      <c r="B388" s="4" t="s">
        <v>883</v>
      </c>
      <c r="C388" t="s">
        <v>884</v>
      </c>
      <c r="D388" t="s">
        <v>221</v>
      </c>
      <c r="E388" t="s">
        <v>222</v>
      </c>
      <c r="F388" t="s">
        <v>99</v>
      </c>
      <c r="G388" t="s">
        <v>882</v>
      </c>
      <c r="H388" t="str">
        <f>+VLOOKUP(B388,[1]Hoja1!$A:$A,1,0)</f>
        <v>A0075</v>
      </c>
    </row>
    <row r="389" spans="1:8" x14ac:dyDescent="0.25">
      <c r="A389" t="s">
        <v>220</v>
      </c>
      <c r="B389" s="4" t="s">
        <v>1120</v>
      </c>
      <c r="C389">
        <v>172</v>
      </c>
      <c r="D389" t="s">
        <v>221</v>
      </c>
      <c r="E389" t="s">
        <v>222</v>
      </c>
      <c r="F389" t="s">
        <v>99</v>
      </c>
      <c r="G389" t="s">
        <v>882</v>
      </c>
      <c r="H389" t="str">
        <f>+VLOOKUP(B389,[1]Hoja1!$A:$A,1,0)</f>
        <v>172</v>
      </c>
    </row>
    <row r="390" spans="1:8" x14ac:dyDescent="0.25">
      <c r="A390" t="s">
        <v>607</v>
      </c>
      <c r="B390" s="4" t="s">
        <v>1073</v>
      </c>
      <c r="C390">
        <v>531</v>
      </c>
      <c r="D390" t="s">
        <v>608</v>
      </c>
      <c r="E390" t="s">
        <v>222</v>
      </c>
      <c r="F390" t="s">
        <v>99</v>
      </c>
      <c r="G390" t="str">
        <f t="shared" ref="G390:G391" si="36">A390</f>
        <v>HOSP. UNIVERSITARIO</v>
      </c>
      <c r="H390" t="str">
        <f>+VLOOKUP(B390,[1]Hoja1!$A:$A,1,0)</f>
        <v>531</v>
      </c>
    </row>
    <row r="391" spans="1:8" x14ac:dyDescent="0.25">
      <c r="A391" t="s">
        <v>613</v>
      </c>
      <c r="B391" s="4" t="s">
        <v>1039</v>
      </c>
      <c r="C391">
        <v>534</v>
      </c>
      <c r="D391" t="s">
        <v>614</v>
      </c>
      <c r="E391" t="s">
        <v>32</v>
      </c>
      <c r="F391" t="s">
        <v>33</v>
      </c>
      <c r="G391" t="str">
        <f t="shared" si="36"/>
        <v>DOS CHORRERAS</v>
      </c>
      <c r="H391" t="str">
        <f>+VLOOKUP(B391,[1]Hoja1!$A:$A,1,0)</f>
        <v>534</v>
      </c>
    </row>
    <row r="392" spans="1:8" x14ac:dyDescent="0.25">
      <c r="A392" t="s">
        <v>927</v>
      </c>
      <c r="B392" s="4" t="s">
        <v>928</v>
      </c>
      <c r="C392" t="s">
        <v>929</v>
      </c>
      <c r="D392" t="s">
        <v>930</v>
      </c>
      <c r="E392" t="s">
        <v>32</v>
      </c>
      <c r="F392" t="s">
        <v>33</v>
      </c>
      <c r="G392" t="s">
        <v>927</v>
      </c>
      <c r="H392" t="str">
        <f>+VLOOKUP(B392,[1]Hoja1!$A:$A,1,0)</f>
        <v>A0090</v>
      </c>
    </row>
    <row r="393" spans="1:8" x14ac:dyDescent="0.25">
      <c r="A393" t="s">
        <v>474</v>
      </c>
      <c r="B393" s="4" t="s">
        <v>1279</v>
      </c>
      <c r="C393">
        <v>439</v>
      </c>
      <c r="D393" t="s">
        <v>475</v>
      </c>
      <c r="E393" t="s">
        <v>32</v>
      </c>
      <c r="F393" t="s">
        <v>33</v>
      </c>
      <c r="G393" t="str">
        <f t="shared" ref="G393:G394" si="37">A393</f>
        <v>UNV. CATOLICA DE CUENCA</v>
      </c>
      <c r="H393" t="str">
        <f>+VLOOKUP(B393,[1]Hoja1!$A:$A,1,0)</f>
        <v>439</v>
      </c>
    </row>
    <row r="394" spans="1:8" x14ac:dyDescent="0.25">
      <c r="A394" t="s">
        <v>567</v>
      </c>
      <c r="B394" s="4" t="s">
        <v>1025</v>
      </c>
      <c r="C394">
        <v>510</v>
      </c>
      <c r="D394" t="s">
        <v>568</v>
      </c>
      <c r="E394" t="s">
        <v>32</v>
      </c>
      <c r="F394" t="s">
        <v>33</v>
      </c>
      <c r="G394" t="str">
        <f t="shared" si="37"/>
        <v>CC MONAY SHOPPING</v>
      </c>
      <c r="H394" t="str">
        <f>+VLOOKUP(B394,[1]Hoja1!$A:$A,1,0)</f>
        <v>510</v>
      </c>
    </row>
    <row r="395" spans="1:8" x14ac:dyDescent="0.25">
      <c r="A395" t="s">
        <v>256</v>
      </c>
      <c r="B395" s="4" t="s">
        <v>972</v>
      </c>
      <c r="C395">
        <v>228</v>
      </c>
      <c r="D395" t="s">
        <v>257</v>
      </c>
      <c r="E395" t="s">
        <v>32</v>
      </c>
      <c r="F395" t="s">
        <v>33</v>
      </c>
      <c r="G395" t="s">
        <v>912</v>
      </c>
      <c r="H395" t="str">
        <f>+VLOOKUP(B395,[1]Hoja1!$A:$A,1,0)</f>
        <v>228</v>
      </c>
    </row>
    <row r="396" spans="1:8" x14ac:dyDescent="0.25">
      <c r="A396" t="s">
        <v>912</v>
      </c>
      <c r="B396" s="4" t="s">
        <v>913</v>
      </c>
      <c r="C396" t="s">
        <v>914</v>
      </c>
      <c r="D396" t="s">
        <v>257</v>
      </c>
      <c r="E396" t="s">
        <v>32</v>
      </c>
      <c r="F396" t="s">
        <v>33</v>
      </c>
      <c r="G396" t="s">
        <v>912</v>
      </c>
      <c r="H396" t="str">
        <f>+VLOOKUP(B396,[1]Hoja1!$A:$A,1,0)</f>
        <v>A0085</v>
      </c>
    </row>
    <row r="397" spans="1:8" x14ac:dyDescent="0.25">
      <c r="A397" t="s">
        <v>888</v>
      </c>
      <c r="B397" s="4" t="s">
        <v>889</v>
      </c>
      <c r="C397" t="s">
        <v>890</v>
      </c>
      <c r="D397" t="s">
        <v>31</v>
      </c>
      <c r="E397" t="s">
        <v>32</v>
      </c>
      <c r="F397" t="s">
        <v>33</v>
      </c>
      <c r="G397" t="s">
        <v>888</v>
      </c>
      <c r="H397" t="str">
        <f>+VLOOKUP(B397,[1]Hoja1!$A:$A,1,0)</f>
        <v>A0077</v>
      </c>
    </row>
    <row r="398" spans="1:8" x14ac:dyDescent="0.25">
      <c r="A398" t="s">
        <v>30</v>
      </c>
      <c r="B398" s="4" t="s">
        <v>1125</v>
      </c>
      <c r="C398">
        <v>10</v>
      </c>
      <c r="D398" t="s">
        <v>31</v>
      </c>
      <c r="E398" t="s">
        <v>32</v>
      </c>
      <c r="F398" t="s">
        <v>33</v>
      </c>
      <c r="G398" t="s">
        <v>888</v>
      </c>
      <c r="H398" t="str">
        <f>+VLOOKUP(B398,[1]Hoja1!$A:$A,1,0)</f>
        <v>10</v>
      </c>
    </row>
    <row r="399" spans="1:8" x14ac:dyDescent="0.25">
      <c r="A399" t="s">
        <v>921</v>
      </c>
      <c r="B399" s="4" t="s">
        <v>922</v>
      </c>
      <c r="C399" t="s">
        <v>923</v>
      </c>
      <c r="D399" t="s">
        <v>74</v>
      </c>
      <c r="E399" t="s">
        <v>32</v>
      </c>
      <c r="F399" t="s">
        <v>33</v>
      </c>
      <c r="G399" t="s">
        <v>921</v>
      </c>
      <c r="H399" t="str">
        <f>+VLOOKUP(B399,[1]Hoja1!$A:$A,1,0)</f>
        <v>A0088</v>
      </c>
    </row>
    <row r="400" spans="1:8" x14ac:dyDescent="0.25">
      <c r="A400" t="s">
        <v>73</v>
      </c>
      <c r="B400" s="4" t="s">
        <v>1159</v>
      </c>
      <c r="C400">
        <v>43</v>
      </c>
      <c r="D400" t="s">
        <v>74</v>
      </c>
      <c r="E400" t="s">
        <v>32</v>
      </c>
      <c r="F400" t="s">
        <v>33</v>
      </c>
      <c r="G400" t="s">
        <v>921</v>
      </c>
      <c r="H400" t="str">
        <f>+VLOOKUP(B400,[1]Hoja1!$A:$A,1,0)</f>
        <v>43</v>
      </c>
    </row>
    <row r="401" spans="1:8" x14ac:dyDescent="0.25">
      <c r="A401" t="s">
        <v>534</v>
      </c>
      <c r="B401" s="4" t="s">
        <v>1180</v>
      </c>
      <c r="C401">
        <v>482</v>
      </c>
      <c r="D401" t="s">
        <v>535</v>
      </c>
      <c r="E401" t="s">
        <v>32</v>
      </c>
      <c r="F401" t="s">
        <v>33</v>
      </c>
      <c r="G401" t="str">
        <f>A401</f>
        <v>PLAZA TOLEDO</v>
      </c>
      <c r="H401" t="str">
        <f>+VLOOKUP(B401,[1]Hoja1!$A:$A,1,0)</f>
        <v>482</v>
      </c>
    </row>
    <row r="402" spans="1:8" x14ac:dyDescent="0.25">
      <c r="A402" t="s">
        <v>644</v>
      </c>
      <c r="B402" s="4" t="s">
        <v>1092</v>
      </c>
      <c r="C402">
        <v>552</v>
      </c>
      <c r="D402" t="s">
        <v>645</v>
      </c>
      <c r="E402" t="s">
        <v>32</v>
      </c>
      <c r="F402" t="s">
        <v>33</v>
      </c>
      <c r="G402" t="s">
        <v>644</v>
      </c>
      <c r="H402" t="str">
        <f>+VLOOKUP(B402,[1]Hoja1!$A:$A,1,0)</f>
        <v>552</v>
      </c>
    </row>
    <row r="403" spans="1:8" x14ac:dyDescent="0.25">
      <c r="A403" t="s">
        <v>711</v>
      </c>
      <c r="B403" s="4" t="s">
        <v>712</v>
      </c>
      <c r="C403" t="s">
        <v>713</v>
      </c>
      <c r="D403" t="s">
        <v>21</v>
      </c>
      <c r="E403" t="s">
        <v>22</v>
      </c>
      <c r="F403" t="s">
        <v>23</v>
      </c>
      <c r="G403" t="s">
        <v>711</v>
      </c>
      <c r="H403" t="str">
        <f>+VLOOKUP(B403,[1]Hoja1!$A:$A,1,0)</f>
        <v>A0015</v>
      </c>
    </row>
    <row r="404" spans="1:8" x14ac:dyDescent="0.25">
      <c r="A404" t="s">
        <v>20</v>
      </c>
      <c r="B404" s="4" t="s">
        <v>1137</v>
      </c>
      <c r="C404">
        <v>7</v>
      </c>
      <c r="D404" t="s">
        <v>21</v>
      </c>
      <c r="E404" t="s">
        <v>22</v>
      </c>
      <c r="F404" t="s">
        <v>23</v>
      </c>
      <c r="G404" t="s">
        <v>711</v>
      </c>
      <c r="H404" t="str">
        <f>+VLOOKUP(B404,[1]Hoja1!$A:$A,1,0)</f>
        <v>7</v>
      </c>
    </row>
    <row r="405" spans="1:8" x14ac:dyDescent="0.25">
      <c r="A405" t="s">
        <v>527</v>
      </c>
      <c r="B405" s="4" t="s">
        <v>1138</v>
      </c>
      <c r="C405">
        <v>476</v>
      </c>
      <c r="D405" t="s">
        <v>21</v>
      </c>
      <c r="E405" t="s">
        <v>22</v>
      </c>
      <c r="F405" t="s">
        <v>23</v>
      </c>
      <c r="G405" t="s">
        <v>711</v>
      </c>
      <c r="H405" t="str">
        <f>+VLOOKUP(B405,[1]Hoja1!$A:$A,1,0)</f>
        <v>476</v>
      </c>
    </row>
    <row r="406" spans="1:8" x14ac:dyDescent="0.25">
      <c r="A406" t="s">
        <v>771</v>
      </c>
      <c r="B406" s="4" t="s">
        <v>772</v>
      </c>
      <c r="C406" t="s">
        <v>773</v>
      </c>
      <c r="D406" t="s">
        <v>774</v>
      </c>
      <c r="E406" t="s">
        <v>22</v>
      </c>
      <c r="F406" t="s">
        <v>23</v>
      </c>
      <c r="G406" t="s">
        <v>771</v>
      </c>
      <c r="H406" t="str">
        <f>+VLOOKUP(B406,[1]Hoja1!$A:$A,1,0)</f>
        <v>A0036</v>
      </c>
    </row>
    <row r="407" spans="1:8" x14ac:dyDescent="0.25">
      <c r="A407" t="s">
        <v>485</v>
      </c>
      <c r="B407" s="4" t="s">
        <v>971</v>
      </c>
      <c r="C407">
        <v>447</v>
      </c>
      <c r="D407" t="s">
        <v>486</v>
      </c>
      <c r="E407" t="s">
        <v>22</v>
      </c>
      <c r="F407" t="s">
        <v>23</v>
      </c>
      <c r="G407" t="s">
        <v>714</v>
      </c>
      <c r="H407" t="str">
        <f>+VLOOKUP(B407,[1]Hoja1!$A:$A,1,0)</f>
        <v>447</v>
      </c>
    </row>
    <row r="408" spans="1:8" x14ac:dyDescent="0.25">
      <c r="A408" t="s">
        <v>714</v>
      </c>
      <c r="B408" s="4" t="s">
        <v>715</v>
      </c>
      <c r="C408" t="s">
        <v>716</v>
      </c>
      <c r="D408" t="s">
        <v>486</v>
      </c>
      <c r="E408" t="s">
        <v>22</v>
      </c>
      <c r="F408" t="s">
        <v>23</v>
      </c>
      <c r="G408" t="s">
        <v>714</v>
      </c>
      <c r="H408" t="str">
        <f>+VLOOKUP(B408,[1]Hoja1!$A:$A,1,0)</f>
        <v>A0016</v>
      </c>
    </row>
    <row r="409" spans="1:8" x14ac:dyDescent="0.25">
      <c r="A409" t="s">
        <v>894</v>
      </c>
      <c r="B409" s="4" t="s">
        <v>895</v>
      </c>
      <c r="C409" t="s">
        <v>896</v>
      </c>
      <c r="D409" t="s">
        <v>103</v>
      </c>
      <c r="E409" t="s">
        <v>104</v>
      </c>
      <c r="F409" t="s">
        <v>104</v>
      </c>
      <c r="G409" t="s">
        <v>894</v>
      </c>
      <c r="H409" t="str">
        <f>+VLOOKUP(B409,[1]Hoja1!$A:$A,1,0)</f>
        <v>A0079</v>
      </c>
    </row>
    <row r="410" spans="1:8" x14ac:dyDescent="0.25">
      <c r="A410" t="s">
        <v>102</v>
      </c>
      <c r="B410" s="4" t="s">
        <v>1136</v>
      </c>
      <c r="C410">
        <v>62</v>
      </c>
      <c r="D410" t="s">
        <v>103</v>
      </c>
      <c r="E410" t="s">
        <v>104</v>
      </c>
      <c r="F410" t="s">
        <v>104</v>
      </c>
      <c r="G410" t="s">
        <v>894</v>
      </c>
      <c r="H410" t="str">
        <f>+VLOOKUP(B410,[1]Hoja1!$A:$A,1,0)</f>
        <v>62</v>
      </c>
    </row>
    <row r="411" spans="1:8" x14ac:dyDescent="0.25">
      <c r="A411" t="s">
        <v>654</v>
      </c>
      <c r="G411" t="e">
        <v>#N/A</v>
      </c>
      <c r="H411" t="e">
        <f>+VLOOKUP(B411,[1]Hoja1!$A:$A,1,0)</f>
        <v>#N/A</v>
      </c>
    </row>
    <row r="412" spans="1:8" x14ac:dyDescent="0.25">
      <c r="A412" t="s">
        <v>655</v>
      </c>
      <c r="G412" t="e">
        <v>#N/A</v>
      </c>
      <c r="H412" t="e">
        <f>+VLOOKUP(B412,[1]Hoja1!$A:$A,1,0)</f>
        <v>#N/A</v>
      </c>
    </row>
    <row r="413" spans="1:8" x14ac:dyDescent="0.25">
      <c r="A413" t="s">
        <v>656</v>
      </c>
      <c r="G413" t="e">
        <v>#N/A</v>
      </c>
      <c r="H413" t="e">
        <f>+VLOOKUP(B413,[1]Hoja1!$A:$A,1,0)</f>
        <v>#N/A</v>
      </c>
    </row>
    <row r="414" spans="1:8" x14ac:dyDescent="0.25">
      <c r="A414" t="s">
        <v>657</v>
      </c>
      <c r="G414" t="e">
        <v>#N/A</v>
      </c>
      <c r="H414" t="e">
        <f>+VLOOKUP(B414,[1]Hoja1!$A:$A,1,0)</f>
        <v>#N/A</v>
      </c>
    </row>
    <row r="415" spans="1:8" x14ac:dyDescent="0.25">
      <c r="A415" t="s">
        <v>658</v>
      </c>
      <c r="G415" t="e">
        <v>#N/A</v>
      </c>
      <c r="H415" t="e">
        <f>+VLOOKUP(B415,[1]Hoja1!$A:$A,1,0)</f>
        <v>#N/A</v>
      </c>
    </row>
    <row r="416" spans="1:8" x14ac:dyDescent="0.25">
      <c r="A416" t="s">
        <v>659</v>
      </c>
      <c r="G416" t="e">
        <v>#N/A</v>
      </c>
      <c r="H416" t="e">
        <f>+VLOOKUP(B416,[1]Hoja1!$A:$A,1,0)</f>
        <v>#N/A</v>
      </c>
    </row>
    <row r="417" spans="1:8" x14ac:dyDescent="0.25">
      <c r="A417" t="s">
        <v>660</v>
      </c>
      <c r="G417" t="e">
        <v>#N/A</v>
      </c>
      <c r="H417" t="e">
        <f>+VLOOKUP(B417,[1]Hoja1!$A:$A,1,0)</f>
        <v>#N/A</v>
      </c>
    </row>
    <row r="418" spans="1:8" x14ac:dyDescent="0.25">
      <c r="A418" t="s">
        <v>661</v>
      </c>
      <c r="G418" t="e">
        <v>#N/A</v>
      </c>
      <c r="H418" t="e">
        <f>+VLOOKUP(B418,[1]Hoja1!$A:$A,1,0)</f>
        <v>#N/A</v>
      </c>
    </row>
    <row r="419" spans="1:8" x14ac:dyDescent="0.25">
      <c r="A419" t="s">
        <v>663</v>
      </c>
      <c r="G419" t="e">
        <v>#N/A</v>
      </c>
      <c r="H419" t="e">
        <f>+VLOOKUP(B419,[1]Hoja1!$A:$A,1,0)</f>
        <v>#N/A</v>
      </c>
    </row>
    <row r="420" spans="1:8" x14ac:dyDescent="0.25">
      <c r="A420" t="s">
        <v>664</v>
      </c>
      <c r="G420" t="e">
        <v>#N/A</v>
      </c>
      <c r="H420" t="e">
        <f>+VLOOKUP(B420,[1]Hoja1!$A:$A,1,0)</f>
        <v>#N/A</v>
      </c>
    </row>
    <row r="421" spans="1:8" x14ac:dyDescent="0.25">
      <c r="A421" t="s">
        <v>665</v>
      </c>
      <c r="G421" t="e">
        <v>#N/A</v>
      </c>
      <c r="H421" t="e">
        <f>+VLOOKUP(B421,[1]Hoja1!$A:$A,1,0)</f>
        <v>#N/A</v>
      </c>
    </row>
    <row r="422" spans="1:8" x14ac:dyDescent="0.25">
      <c r="A422" t="s">
        <v>666</v>
      </c>
      <c r="G422" t="e">
        <v>#N/A</v>
      </c>
      <c r="H422" t="e">
        <f>+VLOOKUP(B422,[1]Hoja1!$A:$A,1,0)</f>
        <v>#N/A</v>
      </c>
    </row>
    <row r="423" spans="1:8" x14ac:dyDescent="0.25">
      <c r="A423" t="s">
        <v>667</v>
      </c>
      <c r="G423" t="e">
        <v>#N/A</v>
      </c>
      <c r="H423" t="e">
        <f>+VLOOKUP(B423,[1]Hoja1!$A:$A,1,0)</f>
        <v>#N/A</v>
      </c>
    </row>
    <row r="424" spans="1:8" x14ac:dyDescent="0.25">
      <c r="A424" t="s">
        <v>668</v>
      </c>
      <c r="G424" t="e">
        <v>#N/A</v>
      </c>
      <c r="H424" t="e">
        <f>+VLOOKUP(B424,[1]Hoja1!$A:$A,1,0)</f>
        <v>#N/A</v>
      </c>
    </row>
    <row r="425" spans="1:8" x14ac:dyDescent="0.25">
      <c r="B425" t="s">
        <v>1288</v>
      </c>
    </row>
    <row r="428" spans="1:8" x14ac:dyDescent="0.25">
      <c r="D428">
        <f>94+38</f>
        <v>132</v>
      </c>
    </row>
  </sheetData>
  <autoFilter ref="A1:H425" xr:uid="{87EBFD6E-8260-42BF-9449-A36CD1787AA4}"/>
  <conditionalFormatting sqref="A1:A1048576">
    <cfRule type="duplicateValues" dxfId="3" priority="4"/>
  </conditionalFormatting>
  <conditionalFormatting sqref="D1:D1048576">
    <cfRule type="duplicateValues" dxfId="2" priority="2"/>
  </conditionalFormatting>
  <conditionalFormatting sqref="G1:G1048576 H1">
    <cfRule type="duplicateValues" dxfId="0" priority="1"/>
  </conditionalFormatting>
  <conditionalFormatting sqref="G413:G415"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Calle Eras</dc:creator>
  <cp:lastModifiedBy>John Rodriguez Rivas</cp:lastModifiedBy>
  <dcterms:created xsi:type="dcterms:W3CDTF">2026-09-02T16:18:17Z</dcterms:created>
  <dcterms:modified xsi:type="dcterms:W3CDTF">2026-09-03T21:50:15Z</dcterms:modified>
</cp:coreProperties>
</file>