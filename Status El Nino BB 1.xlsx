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rodrir\Desktop\Bases Excel\"/>
    </mc:Choice>
  </mc:AlternateContent>
  <xr:revisionPtr revIDLastSave="0" documentId="13_ncr:1_{4E9A2DF2-4996-43F0-A5B5-847199C7A6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Evalua" sheetId="2" r:id="rId2"/>
    <sheet name="Hoja2" sheetId="3" r:id="rId3"/>
    <sheet name="Hoja3" sheetId="4" r:id="rId4"/>
  </sheets>
  <externalReferences>
    <externalReference r:id="rId5"/>
  </externalReferences>
  <definedNames>
    <definedName name="_xlnm._FilterDatabase" localSheetId="0" hidden="1">Hoja1!$A$1:$Z$409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6" i="1" l="1"/>
  <c r="Q407" i="1"/>
  <c r="Q408" i="1"/>
  <c r="Q409" i="1"/>
  <c r="Q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2" i="1"/>
  <c r="G9" i="2" a="1"/>
  <c r="G9" i="2" s="1"/>
  <c r="G2" i="2" a="1"/>
  <c r="G2" i="2" s="1"/>
  <c r="Z11" i="1" s="1"/>
  <c r="Z407" i="1" l="1"/>
  <c r="Z406" i="1"/>
  <c r="Z405" i="1"/>
  <c r="Z404" i="1"/>
  <c r="Z403" i="1"/>
  <c r="Z402" i="1"/>
  <c r="Z401" i="1"/>
  <c r="AA409" i="1"/>
  <c r="AA408" i="1"/>
  <c r="AA407" i="1"/>
  <c r="Z409" i="1"/>
  <c r="AA406" i="1"/>
  <c r="Z408" i="1"/>
  <c r="AA405" i="1"/>
  <c r="AA8" i="1"/>
  <c r="Z396" i="1"/>
  <c r="AA315" i="1"/>
  <c r="Z240" i="1"/>
  <c r="AA185" i="1"/>
  <c r="AA355" i="1"/>
  <c r="Z274" i="1"/>
  <c r="Z179" i="1"/>
  <c r="Z390" i="1"/>
  <c r="AA349" i="1"/>
  <c r="AA267" i="1"/>
  <c r="Z236" i="1"/>
  <c r="Z83" i="1"/>
  <c r="Z308" i="1"/>
  <c r="AA233" i="1"/>
  <c r="AA165" i="1"/>
  <c r="Z383" i="1"/>
  <c r="Z302" i="1"/>
  <c r="Z233" i="1"/>
  <c r="Z71" i="1"/>
  <c r="AA382" i="1"/>
  <c r="AA301" i="1"/>
  <c r="Z228" i="1"/>
  <c r="Z65" i="1"/>
  <c r="AA335" i="1"/>
  <c r="Z254" i="1"/>
  <c r="AA145" i="1"/>
  <c r="Z376" i="1"/>
  <c r="Z294" i="1"/>
  <c r="Z220" i="1"/>
  <c r="Z48" i="1"/>
  <c r="AA369" i="1"/>
  <c r="Z288" i="1"/>
  <c r="AA247" i="1"/>
  <c r="Z40" i="1"/>
  <c r="Z369" i="1"/>
  <c r="AA287" i="1"/>
  <c r="AA206" i="1"/>
  <c r="Z29" i="1"/>
  <c r="Z399" i="1"/>
  <c r="Z363" i="1"/>
  <c r="Z322" i="1"/>
  <c r="Z281" i="1"/>
  <c r="Z246" i="1"/>
  <c r="AA199" i="1"/>
  <c r="Z116" i="1"/>
  <c r="AA20" i="1"/>
  <c r="Z356" i="1"/>
  <c r="AA274" i="1"/>
  <c r="Z100" i="1"/>
  <c r="AA392" i="1"/>
  <c r="Z315" i="1"/>
  <c r="AA237" i="1"/>
  <c r="Z92" i="1"/>
  <c r="AA308" i="1"/>
  <c r="AA172" i="1"/>
  <c r="AA389" i="1"/>
  <c r="Z349" i="1"/>
  <c r="Z267" i="1"/>
  <c r="AA74" i="1"/>
  <c r="Z342" i="1"/>
  <c r="Z261" i="1"/>
  <c r="Z159" i="1"/>
  <c r="AA341" i="1"/>
  <c r="AA260" i="1"/>
  <c r="Z152" i="1"/>
  <c r="AA376" i="1"/>
  <c r="Z295" i="1"/>
  <c r="Z227" i="1"/>
  <c r="Z57" i="1"/>
  <c r="Z335" i="1"/>
  <c r="AA253" i="1"/>
  <c r="Z138" i="1"/>
  <c r="AA328" i="1"/>
  <c r="Z213" i="1"/>
  <c r="Z131" i="1"/>
  <c r="Z328" i="1"/>
  <c r="Z247" i="1"/>
  <c r="Z123" i="1"/>
  <c r="Z397" i="1"/>
  <c r="AA362" i="1"/>
  <c r="AA321" i="1"/>
  <c r="AA280" i="1"/>
  <c r="Z241" i="1"/>
  <c r="Z193" i="1"/>
  <c r="Z108" i="1"/>
  <c r="AA11" i="1"/>
  <c r="Z21" i="1"/>
  <c r="Z30" i="1"/>
  <c r="AA40" i="1"/>
  <c r="AA49" i="1"/>
  <c r="AA57" i="1"/>
  <c r="Z66" i="1"/>
  <c r="Z75" i="1"/>
  <c r="AA83" i="1"/>
  <c r="AA92" i="1"/>
  <c r="AA100" i="1"/>
  <c r="Z109" i="1"/>
  <c r="AA116" i="1"/>
  <c r="AA123" i="1"/>
  <c r="AA131" i="1"/>
  <c r="Z139" i="1"/>
  <c r="Z146" i="1"/>
  <c r="AA152" i="1"/>
  <c r="AA159" i="1"/>
  <c r="Z166" i="1"/>
  <c r="Z173" i="1"/>
  <c r="AA179" i="1"/>
  <c r="Z186" i="1"/>
  <c r="AA193" i="1"/>
  <c r="Z200" i="1"/>
  <c r="Z207" i="1"/>
  <c r="Z214" i="1"/>
  <c r="AA220" i="1"/>
  <c r="AA227" i="1"/>
  <c r="Z234" i="1"/>
  <c r="AA241" i="1"/>
  <c r="Z248" i="1"/>
  <c r="AA254" i="1"/>
  <c r="AA261" i="1"/>
  <c r="Z268" i="1"/>
  <c r="Z275" i="1"/>
  <c r="AA281" i="1"/>
  <c r="Z289" i="1"/>
  <c r="AA295" i="1"/>
  <c r="AA302" i="1"/>
  <c r="Z309" i="1"/>
  <c r="Z316" i="1"/>
  <c r="AA322" i="1"/>
  <c r="Z329" i="1"/>
  <c r="Z336" i="1"/>
  <c r="Z343" i="1"/>
  <c r="Z350" i="1"/>
  <c r="AA356" i="1"/>
  <c r="AA363" i="1"/>
  <c r="Z370" i="1"/>
  <c r="Z377" i="1"/>
  <c r="Z384" i="1"/>
  <c r="Z391" i="1"/>
  <c r="AA397" i="1"/>
  <c r="AA404" i="1"/>
  <c r="Z3" i="1"/>
  <c r="Z12" i="1"/>
  <c r="AA21" i="1"/>
  <c r="Z32" i="1"/>
  <c r="Z41" i="1"/>
  <c r="Z50" i="1"/>
  <c r="Z58" i="1"/>
  <c r="AA67" i="1"/>
  <c r="Z76" i="1"/>
  <c r="Z84" i="1"/>
  <c r="Z93" i="1"/>
  <c r="Z101" i="1"/>
  <c r="AA109" i="1"/>
  <c r="Z117" i="1"/>
  <c r="Z124" i="1"/>
  <c r="Z132" i="1"/>
  <c r="AA139" i="1"/>
  <c r="AA146" i="1"/>
  <c r="Z153" i="1"/>
  <c r="Z160" i="1"/>
  <c r="AA166" i="1"/>
  <c r="AA173" i="1"/>
  <c r="Z180" i="1"/>
  <c r="Z187" i="1"/>
  <c r="Z194" i="1"/>
  <c r="Z201" i="1"/>
  <c r="AA207" i="1"/>
  <c r="AA214" i="1"/>
  <c r="Z221" i="1"/>
  <c r="Z235" i="1"/>
  <c r="Z242" i="1"/>
  <c r="AA248" i="1"/>
  <c r="Z255" i="1"/>
  <c r="Z262" i="1"/>
  <c r="AA268" i="1"/>
  <c r="AA275" i="1"/>
  <c r="Z282" i="1"/>
  <c r="AA289" i="1"/>
  <c r="Z296" i="1"/>
  <c r="Z303" i="1"/>
  <c r="AA309" i="1"/>
  <c r="AA316" i="1"/>
  <c r="Z323" i="1"/>
  <c r="AA329" i="1"/>
  <c r="Z337" i="1"/>
  <c r="AA343" i="1"/>
  <c r="AA350" i="1"/>
  <c r="Z357" i="1"/>
  <c r="Z364" i="1"/>
  <c r="Z371" i="1"/>
  <c r="AA377" i="1"/>
  <c r="Z385" i="1"/>
  <c r="AA391" i="1"/>
  <c r="Z398" i="1"/>
  <c r="Z338" i="1"/>
  <c r="AA351" i="1"/>
  <c r="Z365" i="1"/>
  <c r="Z379" i="1"/>
  <c r="Z4" i="1"/>
  <c r="AA13" i="1"/>
  <c r="Z22" i="1"/>
  <c r="Z33" i="1"/>
  <c r="AA41" i="1"/>
  <c r="AA50" i="1"/>
  <c r="Z59" i="1"/>
  <c r="Z68" i="1"/>
  <c r="AA76" i="1"/>
  <c r="AA85" i="1"/>
  <c r="AA93" i="1"/>
  <c r="Z102" i="1"/>
  <c r="Z110" i="1"/>
  <c r="Z118" i="1"/>
  <c r="Z125" i="1"/>
  <c r="Z133" i="1"/>
  <c r="Z140" i="1"/>
  <c r="Z147" i="1"/>
  <c r="AA153" i="1"/>
  <c r="AA160" i="1"/>
  <c r="Z167" i="1"/>
  <c r="Z174" i="1"/>
  <c r="Z181" i="1"/>
  <c r="Z188" i="1"/>
  <c r="AA194" i="1"/>
  <c r="AA201" i="1"/>
  <c r="Z208" i="1"/>
  <c r="Z215" i="1"/>
  <c r="AA221" i="1"/>
  <c r="Z229" i="1"/>
  <c r="AA235" i="1"/>
  <c r="AA242" i="1"/>
  <c r="Z249" i="1"/>
  <c r="AA255" i="1"/>
  <c r="AA262" i="1"/>
  <c r="Z269" i="1"/>
  <c r="Z276" i="1"/>
  <c r="Z283" i="1"/>
  <c r="Z290" i="1"/>
  <c r="AA296" i="1"/>
  <c r="AA303" i="1"/>
  <c r="Z310" i="1"/>
  <c r="Z317" i="1"/>
  <c r="AA323" i="1"/>
  <c r="Z330" i="1"/>
  <c r="AA337" i="1"/>
  <c r="Z344" i="1"/>
  <c r="Z351" i="1"/>
  <c r="Z358" i="1"/>
  <c r="AA364" i="1"/>
  <c r="AA371" i="1"/>
  <c r="Z378" i="1"/>
  <c r="AA385" i="1"/>
  <c r="Z392" i="1"/>
  <c r="AA398" i="1"/>
  <c r="AA4" i="1"/>
  <c r="Z14" i="1"/>
  <c r="Z23" i="1"/>
  <c r="AA33" i="1"/>
  <c r="Z42" i="1"/>
  <c r="Z51" i="1"/>
  <c r="AA59" i="1"/>
  <c r="Z69" i="1"/>
  <c r="Z77" i="1"/>
  <c r="Z86" i="1"/>
  <c r="Z94" i="1"/>
  <c r="AA103" i="1"/>
  <c r="AA110" i="1"/>
  <c r="AA118" i="1"/>
  <c r="AA125" i="1"/>
  <c r="AA133" i="1"/>
  <c r="AA140" i="1"/>
  <c r="AA147" i="1"/>
  <c r="Z154" i="1"/>
  <c r="Z161" i="1"/>
  <c r="Z168" i="1"/>
  <c r="Z175" i="1"/>
  <c r="AA181" i="1"/>
  <c r="AA188" i="1"/>
  <c r="Z195" i="1"/>
  <c r="Z202" i="1"/>
  <c r="AA208" i="1"/>
  <c r="AA215" i="1"/>
  <c r="Z222" i="1"/>
  <c r="AA229" i="1"/>
  <c r="Z243" i="1"/>
  <c r="AA249" i="1"/>
  <c r="Z256" i="1"/>
  <c r="Z263" i="1"/>
  <c r="AA269" i="1"/>
  <c r="Z277" i="1"/>
  <c r="AA283" i="1"/>
  <c r="AA290" i="1"/>
  <c r="Z297" i="1"/>
  <c r="Z304" i="1"/>
  <c r="AA310" i="1"/>
  <c r="AA317" i="1"/>
  <c r="Z324" i="1"/>
  <c r="Z331" i="1"/>
  <c r="Z345" i="1"/>
  <c r="AA358" i="1"/>
  <c r="Z372" i="1"/>
  <c r="Z386" i="1"/>
  <c r="Z5" i="1"/>
  <c r="AA14" i="1"/>
  <c r="Z24" i="1"/>
  <c r="Z34" i="1"/>
  <c r="AA43" i="1"/>
  <c r="Z52" i="1"/>
  <c r="Z60" i="1"/>
  <c r="AA69" i="1"/>
  <c r="AA77" i="1"/>
  <c r="AA86" i="1"/>
  <c r="Z95" i="1"/>
  <c r="Z104" i="1"/>
  <c r="Z111" i="1"/>
  <c r="Z119" i="1"/>
  <c r="Z126" i="1"/>
  <c r="Z134" i="1"/>
  <c r="Z141" i="1"/>
  <c r="Z148" i="1"/>
  <c r="Z155" i="1"/>
  <c r="AA161" i="1"/>
  <c r="Z169" i="1"/>
  <c r="AA175" i="1"/>
  <c r="Z182" i="1"/>
  <c r="Z189" i="1"/>
  <c r="AA195" i="1"/>
  <c r="AA202" i="1"/>
  <c r="Z209" i="1"/>
  <c r="Z216" i="1"/>
  <c r="Z223" i="1"/>
  <c r="Z230" i="1"/>
  <c r="AA236" i="1"/>
  <c r="AA243" i="1"/>
  <c r="Z250" i="1"/>
  <c r="AA256" i="1"/>
  <c r="AA263" i="1"/>
  <c r="Z270" i="1"/>
  <c r="AA277" i="1"/>
  <c r="Z284" i="1"/>
  <c r="Z291" i="1"/>
  <c r="AA297" i="1"/>
  <c r="AA304" i="1"/>
  <c r="Z311" i="1"/>
  <c r="Z318" i="1"/>
  <c r="Z325" i="1"/>
  <c r="Z332" i="1"/>
  <c r="AA338" i="1"/>
  <c r="AA345" i="1"/>
  <c r="Z352" i="1"/>
  <c r="Z359" i="1"/>
  <c r="AA365" i="1"/>
  <c r="Z373" i="1"/>
  <c r="AA379" i="1"/>
  <c r="AA386" i="1"/>
  <c r="Z393" i="1"/>
  <c r="AA399" i="1"/>
  <c r="AA244" i="1"/>
  <c r="Z251" i="1"/>
  <c r="AA257" i="1"/>
  <c r="Z265" i="1"/>
  <c r="AA271" i="1"/>
  <c r="AA278" i="1"/>
  <c r="Z285" i="1"/>
  <c r="Z292" i="1"/>
  <c r="Z299" i="1"/>
  <c r="AA305" i="1"/>
  <c r="Z313" i="1"/>
  <c r="AA319" i="1"/>
  <c r="Z326" i="1"/>
  <c r="Z333" i="1"/>
  <c r="AA339" i="1"/>
  <c r="AA346" i="1"/>
  <c r="Z353" i="1"/>
  <c r="Z360" i="1"/>
  <c r="Z367" i="1"/>
  <c r="Z374" i="1"/>
  <c r="AA380" i="1"/>
  <c r="AA387" i="1"/>
  <c r="Z394" i="1"/>
  <c r="AA400" i="1"/>
  <c r="AA7" i="1"/>
  <c r="Z17" i="1"/>
  <c r="Z27" i="1"/>
  <c r="AA35" i="1"/>
  <c r="AA45" i="1"/>
  <c r="Z54" i="1"/>
  <c r="AA5" i="1"/>
  <c r="Z15" i="1"/>
  <c r="Z26" i="1"/>
  <c r="AA34" i="1"/>
  <c r="Z44" i="1"/>
  <c r="AA52" i="1"/>
  <c r="Z62" i="1"/>
  <c r="Z70" i="1"/>
  <c r="Z78" i="1"/>
  <c r="Z87" i="1"/>
  <c r="AA95" i="1"/>
  <c r="Z105" i="1"/>
  <c r="Z112" i="1"/>
  <c r="AA119" i="1"/>
  <c r="Z127" i="1"/>
  <c r="AA134" i="1"/>
  <c r="Z142" i="1"/>
  <c r="AA148" i="1"/>
  <c r="AA155" i="1"/>
  <c r="Z162" i="1"/>
  <c r="AA169" i="1"/>
  <c r="Z176" i="1"/>
  <c r="AA182" i="1"/>
  <c r="AA189" i="1"/>
  <c r="Z196" i="1"/>
  <c r="Z203" i="1"/>
  <c r="AA209" i="1"/>
  <c r="Z217" i="1"/>
  <c r="AA223" i="1"/>
  <c r="AA230" i="1"/>
  <c r="Z237" i="1"/>
  <c r="Z244" i="1"/>
  <c r="AA250" i="1"/>
  <c r="Z257" i="1"/>
  <c r="Z264" i="1"/>
  <c r="Z271" i="1"/>
  <c r="Z278" i="1"/>
  <c r="AA284" i="1"/>
  <c r="AA291" i="1"/>
  <c r="Z298" i="1"/>
  <c r="Z305" i="1"/>
  <c r="Z312" i="1"/>
  <c r="Z319" i="1"/>
  <c r="AA325" i="1"/>
  <c r="AA332" i="1"/>
  <c r="Z339" i="1"/>
  <c r="Z346" i="1"/>
  <c r="AA352" i="1"/>
  <c r="AA359" i="1"/>
  <c r="Z366" i="1"/>
  <c r="AA373" i="1"/>
  <c r="Z380" i="1"/>
  <c r="Z387" i="1"/>
  <c r="AA393" i="1"/>
  <c r="Z400" i="1"/>
  <c r="Z6" i="1"/>
  <c r="Z16" i="1"/>
  <c r="AA26" i="1"/>
  <c r="Z35" i="1"/>
  <c r="Z45" i="1"/>
  <c r="Z53" i="1"/>
  <c r="AA62" i="1"/>
  <c r="AA70" i="1"/>
  <c r="AA79" i="1"/>
  <c r="Z88" i="1"/>
  <c r="Z96" i="1"/>
  <c r="AA105" i="1"/>
  <c r="AA112" i="1"/>
  <c r="Z120" i="1"/>
  <c r="AA127" i="1"/>
  <c r="Z135" i="1"/>
  <c r="AA142" i="1"/>
  <c r="Z149" i="1"/>
  <c r="Z156" i="1"/>
  <c r="Z163" i="1"/>
  <c r="Z170" i="1"/>
  <c r="AA176" i="1"/>
  <c r="Z183" i="1"/>
  <c r="Z190" i="1"/>
  <c r="AA196" i="1"/>
  <c r="AA203" i="1"/>
  <c r="Z210" i="1"/>
  <c r="AA217" i="1"/>
  <c r="Z224" i="1"/>
  <c r="Z231" i="1"/>
  <c r="Z347" i="1"/>
  <c r="AA307" i="1"/>
  <c r="AA334" i="1"/>
  <c r="Z355" i="1"/>
  <c r="AA368" i="1"/>
  <c r="Z382" i="1"/>
  <c r="AA395" i="1"/>
  <c r="Z20" i="1"/>
  <c r="AA28" i="1"/>
  <c r="AA56" i="1"/>
  <c r="Z74" i="1"/>
  <c r="AA91" i="1"/>
  <c r="AA107" i="1"/>
  <c r="Z130" i="1"/>
  <c r="AA151" i="1"/>
  <c r="Z165" i="1"/>
  <c r="AA178" i="1"/>
  <c r="Z192" i="1"/>
  <c r="AA212" i="1"/>
  <c r="Z226" i="1"/>
  <c r="Z63" i="1"/>
  <c r="Z80" i="1"/>
  <c r="AA88" i="1"/>
  <c r="Z98" i="1"/>
  <c r="Z106" i="1"/>
  <c r="Z113" i="1"/>
  <c r="Z121" i="1"/>
  <c r="Z128" i="1"/>
  <c r="AA135" i="1"/>
  <c r="Z143" i="1"/>
  <c r="AA149" i="1"/>
  <c r="Z157" i="1"/>
  <c r="AA163" i="1"/>
  <c r="AA170" i="1"/>
  <c r="Z177" i="1"/>
  <c r="AA183" i="1"/>
  <c r="AA190" i="1"/>
  <c r="Z197" i="1"/>
  <c r="Z204" i="1"/>
  <c r="Z211" i="1"/>
  <c r="Z218" i="1"/>
  <c r="AA224" i="1"/>
  <c r="AA231" i="1"/>
  <c r="Z238" i="1"/>
  <c r="Z245" i="1"/>
  <c r="AA251" i="1"/>
  <c r="Z258" i="1"/>
  <c r="AA265" i="1"/>
  <c r="Z272" i="1"/>
  <c r="Z279" i="1"/>
  <c r="Z286" i="1"/>
  <c r="AA292" i="1"/>
  <c r="AA299" i="1"/>
  <c r="Z306" i="1"/>
  <c r="AA313" i="1"/>
  <c r="Z320" i="1"/>
  <c r="AA326" i="1"/>
  <c r="AA333" i="1"/>
  <c r="Z340" i="1"/>
  <c r="AA353" i="1"/>
  <c r="Z361" i="1"/>
  <c r="AA367" i="1"/>
  <c r="AA374" i="1"/>
  <c r="Z381" i="1"/>
  <c r="Z388" i="1"/>
  <c r="AA394" i="1"/>
  <c r="AA232" i="1"/>
  <c r="Z253" i="1"/>
  <c r="Z260" i="1"/>
  <c r="AA266" i="1"/>
  <c r="AA273" i="1"/>
  <c r="Z280" i="1"/>
  <c r="Z287" i="1"/>
  <c r="AA293" i="1"/>
  <c r="Z301" i="1"/>
  <c r="AA314" i="1"/>
  <c r="Z321" i="1"/>
  <c r="AA327" i="1"/>
  <c r="Z341" i="1"/>
  <c r="Z348" i="1"/>
  <c r="Z362" i="1"/>
  <c r="AA375" i="1"/>
  <c r="Z389" i="1"/>
  <c r="Z10" i="1"/>
  <c r="Z39" i="1"/>
  <c r="AA47" i="1"/>
  <c r="AA64" i="1"/>
  <c r="Z82" i="1"/>
  <c r="AA99" i="1"/>
  <c r="Z115" i="1"/>
  <c r="AA122" i="1"/>
  <c r="Z137" i="1"/>
  <c r="Z145" i="1"/>
  <c r="AA158" i="1"/>
  <c r="Z172" i="1"/>
  <c r="Z185" i="1"/>
  <c r="Z206" i="1"/>
  <c r="AA219" i="1"/>
  <c r="Z8" i="1"/>
  <c r="Z18" i="1"/>
  <c r="AA27" i="1"/>
  <c r="Z36" i="1"/>
  <c r="Z46" i="1"/>
  <c r="AA55" i="1"/>
  <c r="AA63" i="1"/>
  <c r="AA71" i="1"/>
  <c r="Z81" i="1"/>
  <c r="Z89" i="1"/>
  <c r="AA98" i="1"/>
  <c r="AA106" i="1"/>
  <c r="AA113" i="1"/>
  <c r="AA121" i="1"/>
  <c r="Z129" i="1"/>
  <c r="Z136" i="1"/>
  <c r="AA143" i="1"/>
  <c r="Z150" i="1"/>
  <c r="AA157" i="1"/>
  <c r="Z164" i="1"/>
  <c r="Z171" i="1"/>
  <c r="AA177" i="1"/>
  <c r="Z184" i="1"/>
  <c r="Z191" i="1"/>
  <c r="AA197" i="1"/>
  <c r="Z205" i="1"/>
  <c r="AA211" i="1"/>
  <c r="AA218" i="1"/>
  <c r="Z225" i="1"/>
  <c r="Z232" i="1"/>
  <c r="AA238" i="1"/>
  <c r="AA245" i="1"/>
  <c r="Z252" i="1"/>
  <c r="Z259" i="1"/>
  <c r="Z266" i="1"/>
  <c r="Z273" i="1"/>
  <c r="AA279" i="1"/>
  <c r="AA286" i="1"/>
  <c r="Z293" i="1"/>
  <c r="Z300" i="1"/>
  <c r="Z307" i="1"/>
  <c r="Z314" i="1"/>
  <c r="AA320" i="1"/>
  <c r="Z327" i="1"/>
  <c r="Z334" i="1"/>
  <c r="AA340" i="1"/>
  <c r="AA347" i="1"/>
  <c r="Z354" i="1"/>
  <c r="AA361" i="1"/>
  <c r="Z368" i="1"/>
  <c r="Z375" i="1"/>
  <c r="AA381" i="1"/>
  <c r="AA388" i="1"/>
  <c r="Z395" i="1"/>
  <c r="AA401" i="1"/>
  <c r="Z9" i="1"/>
  <c r="AA19" i="1"/>
  <c r="Z28" i="1"/>
  <c r="Z38" i="1"/>
  <c r="Z47" i="1"/>
  <c r="Z56" i="1"/>
  <c r="Z64" i="1"/>
  <c r="Z72" i="1"/>
  <c r="AA81" i="1"/>
  <c r="Z90" i="1"/>
  <c r="Z99" i="1"/>
  <c r="Z107" i="1"/>
  <c r="Z114" i="1"/>
  <c r="Z122" i="1"/>
  <c r="AA129" i="1"/>
  <c r="AA136" i="1"/>
  <c r="Z144" i="1"/>
  <c r="Z151" i="1"/>
  <c r="Z158" i="1"/>
  <c r="AA164" i="1"/>
  <c r="AA171" i="1"/>
  <c r="Z178" i="1"/>
  <c r="AA184" i="1"/>
  <c r="AA191" i="1"/>
  <c r="Z198" i="1"/>
  <c r="AA205" i="1"/>
  <c r="Z212" i="1"/>
  <c r="Z219" i="1"/>
  <c r="AA225" i="1"/>
  <c r="Z239" i="1"/>
  <c r="Z199" i="1"/>
  <c r="AA137" i="1"/>
  <c r="AA124" i="1"/>
  <c r="AA111" i="1"/>
  <c r="AA130" i="1"/>
  <c r="AA117" i="1"/>
  <c r="AA104" i="1"/>
  <c r="AA97" i="1"/>
  <c r="AA89" i="1"/>
  <c r="AA82" i="1"/>
  <c r="AA75" i="1"/>
  <c r="AA68" i="1"/>
  <c r="AA61" i="1"/>
  <c r="AA53" i="1"/>
  <c r="AA46" i="1"/>
  <c r="AA39" i="1"/>
  <c r="AA32" i="1"/>
  <c r="AA25" i="1"/>
  <c r="AA17" i="1"/>
  <c r="AA10" i="1"/>
  <c r="AA3" i="1"/>
  <c r="AA38" i="1"/>
  <c r="AA31" i="1"/>
  <c r="AA23" i="1"/>
  <c r="AA16" i="1"/>
  <c r="AA9" i="1"/>
  <c r="AA2" i="1"/>
  <c r="Z2" i="1"/>
  <c r="AA403" i="1"/>
  <c r="AA383" i="1"/>
  <c r="AA370" i="1"/>
  <c r="AA357" i="1"/>
  <c r="AA344" i="1"/>
  <c r="AA331" i="1"/>
  <c r="AA311" i="1"/>
  <c r="AA298" i="1"/>
  <c r="AA285" i="1"/>
  <c r="AA272" i="1"/>
  <c r="AA259" i="1"/>
  <c r="AA239" i="1"/>
  <c r="AA226" i="1"/>
  <c r="AA213" i="1"/>
  <c r="AA200" i="1"/>
  <c r="AA187" i="1"/>
  <c r="AA167" i="1"/>
  <c r="AA154" i="1"/>
  <c r="AA141" i="1"/>
  <c r="AA128" i="1"/>
  <c r="AA115" i="1"/>
  <c r="AA101" i="1"/>
  <c r="AA94" i="1"/>
  <c r="AA87" i="1"/>
  <c r="AA80" i="1"/>
  <c r="AA73" i="1"/>
  <c r="AA65" i="1"/>
  <c r="AA58" i="1"/>
  <c r="AA51" i="1"/>
  <c r="AA44" i="1"/>
  <c r="AA37" i="1"/>
  <c r="AA29" i="1"/>
  <c r="AA22" i="1"/>
  <c r="AA15" i="1"/>
  <c r="AA6" i="1"/>
  <c r="AA12" i="1"/>
  <c r="AA18" i="1"/>
  <c r="AA24" i="1"/>
  <c r="AA30" i="1"/>
  <c r="AA36" i="1"/>
  <c r="AA42" i="1"/>
  <c r="AA48" i="1"/>
  <c r="AA54" i="1"/>
  <c r="AA60" i="1"/>
  <c r="AA66" i="1"/>
  <c r="AA72" i="1"/>
  <c r="AA78" i="1"/>
  <c r="AA84" i="1"/>
  <c r="AA90" i="1"/>
  <c r="AA96" i="1"/>
  <c r="AA102" i="1"/>
  <c r="AA108" i="1"/>
  <c r="AA114" i="1"/>
  <c r="AA120" i="1"/>
  <c r="AA126" i="1"/>
  <c r="AA132" i="1"/>
  <c r="AA138" i="1"/>
  <c r="AA144" i="1"/>
  <c r="AA150" i="1"/>
  <c r="AA156" i="1"/>
  <c r="AA162" i="1"/>
  <c r="AA168" i="1"/>
  <c r="AA174" i="1"/>
  <c r="AA180" i="1"/>
  <c r="AA186" i="1"/>
  <c r="AA192" i="1"/>
  <c r="AA198" i="1"/>
  <c r="AA204" i="1"/>
  <c r="AA210" i="1"/>
  <c r="AA216" i="1"/>
  <c r="AA222" i="1"/>
  <c r="AA228" i="1"/>
  <c r="AA234" i="1"/>
  <c r="AA240" i="1"/>
  <c r="AA246" i="1"/>
  <c r="AA252" i="1"/>
  <c r="AA258" i="1"/>
  <c r="AA264" i="1"/>
  <c r="AA270" i="1"/>
  <c r="AA276" i="1"/>
  <c r="AA282" i="1"/>
  <c r="AA288" i="1"/>
  <c r="AA294" i="1"/>
  <c r="AA300" i="1"/>
  <c r="AA306" i="1"/>
  <c r="AA312" i="1"/>
  <c r="AA318" i="1"/>
  <c r="AA324" i="1"/>
  <c r="AA330" i="1"/>
  <c r="AA336" i="1"/>
  <c r="AA342" i="1"/>
  <c r="AA348" i="1"/>
  <c r="AA354" i="1"/>
  <c r="AA360" i="1"/>
  <c r="AA366" i="1"/>
  <c r="AA372" i="1"/>
  <c r="AA378" i="1"/>
  <c r="AA384" i="1"/>
  <c r="AA390" i="1"/>
  <c r="AA396" i="1"/>
  <c r="AA402" i="1"/>
  <c r="Z7" i="1"/>
  <c r="Z13" i="1"/>
  <c r="Z19" i="1"/>
  <c r="Z25" i="1"/>
  <c r="Z31" i="1"/>
  <c r="Z37" i="1"/>
  <c r="Z43" i="1"/>
  <c r="Z49" i="1"/>
  <c r="Z55" i="1"/>
  <c r="Z61" i="1"/>
  <c r="Z67" i="1"/>
  <c r="Z73" i="1"/>
  <c r="Z79" i="1"/>
  <c r="Z85" i="1"/>
  <c r="Z91" i="1"/>
  <c r="Z97" i="1"/>
  <c r="Z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<sst xmlns="http://schemas.openxmlformats.org/spreadsheetml/2006/main" count="9355" uniqueCount="1987">
  <si>
    <t>COD</t>
  </si>
  <si>
    <t>NOMBRE</t>
  </si>
  <si>
    <t>OFICINA</t>
  </si>
  <si>
    <t>OBSERVACIÓN</t>
  </si>
  <si>
    <t>TIPO</t>
  </si>
  <si>
    <t>SUPERVISOR RESPONSABLE</t>
  </si>
  <si>
    <t>NIVEL DE RIESGO INUNDACION</t>
  </si>
  <si>
    <t>SENSIBILIDAD A CORTES ELECTRICOS</t>
  </si>
  <si>
    <t>Ciudad</t>
  </si>
  <si>
    <t>Alimentador</t>
  </si>
  <si>
    <t>Reserva Glns</t>
  </si>
  <si>
    <t>Autonomia Max horas</t>
  </si>
  <si>
    <t>ID</t>
  </si>
  <si>
    <t>Nivel</t>
  </si>
  <si>
    <t>PUNTO DE ATENCIÓN</t>
  </si>
  <si>
    <t>UNICOS</t>
  </si>
  <si>
    <t>Name</t>
  </si>
  <si>
    <t>Concatenado</t>
  </si>
  <si>
    <t>Ubicación</t>
  </si>
  <si>
    <t>Latitud</t>
  </si>
  <si>
    <t>Longitud</t>
  </si>
  <si>
    <t>Ponderacion Inundaciones</t>
  </si>
  <si>
    <t>Inundaciones</t>
  </si>
  <si>
    <t>353</t>
  </si>
  <si>
    <t>ATM - OF. 12 OCTUBRE</t>
  </si>
  <si>
    <t>12 DE OCTUBRE</t>
  </si>
  <si>
    <t>ABIERTO</t>
  </si>
  <si>
    <t>Fernando Peralta</t>
  </si>
  <si>
    <t>Bajo / Seguro</t>
  </si>
  <si>
    <t>Media (Cortes esporádicos)</t>
  </si>
  <si>
    <t>QUITO</t>
  </si>
  <si>
    <t>Generador</t>
  </si>
  <si>
    <t>Bajo / SeguroMedia (Cortes esporádicos)</t>
  </si>
  <si>
    <t>N3 Moderado</t>
  </si>
  <si>
    <t>12 DE OCTUBRE</t>
  </si>
  <si>
    <t>353-ATM - OF. 12 OCTUBRE</t>
  </si>
  <si>
    <t>(353-ATM - OF. 12 OCTUBRE) +  (A0082-12 DE OCTUBRE)</t>
  </si>
  <si>
    <t>-0.206033, -78.487366</t>
  </si>
  <si>
    <t>A0082</t>
  </si>
  <si>
    <t>AGENCIA</t>
  </si>
  <si>
    <t>9 DE OCTUBRE</t>
  </si>
  <si>
    <t>A0082-12 DE OCTUBRE</t>
  </si>
  <si>
    <t>(61-ATM - OF. 9 DE OCTUBRE) +  (A0001-9 DE OCTUBRE)</t>
  </si>
  <si>
    <t>61</t>
  </si>
  <si>
    <t>ATM - OF. 9 DE OCTUBRE</t>
  </si>
  <si>
    <t>9 DE OCTUBRE</t>
  </si>
  <si>
    <t>Gerardo Pulgarín</t>
  </si>
  <si>
    <t>GUAYAQUIL</t>
  </si>
  <si>
    <t>AEROPUERTO ADUANAS</t>
  </si>
  <si>
    <t>61-ATM - OF. 9 DE OCTUBRE</t>
  </si>
  <si>
    <t>(291-ATM - ADUANAS - AEROPUERTO OF.) +  (A0049-AEROPUERTO ADUANAS)</t>
  </si>
  <si>
    <t>-2.187578912005, -79.895072277516</t>
  </si>
  <si>
    <t>A0001</t>
  </si>
  <si>
    <t>AEROPUERTO J.J. DE OLMEDO</t>
  </si>
  <si>
    <t>A0001-9 DE OCTUBRE</t>
  </si>
  <si>
    <t>(145-ATM - AEROPUERTO GYE. 2 OF.) +  (A0050-AEROPUERTO J.J. DE OLMEDO)</t>
  </si>
  <si>
    <t>291</t>
  </si>
  <si>
    <t>ATM - ADUANAS - AEROPUERTO OF.</t>
  </si>
  <si>
    <t>TERMINAL TERRESTRE</t>
  </si>
  <si>
    <t>ALBORADA NORTE</t>
  </si>
  <si>
    <t>291-ATM - ADUANAS - AEROPUERTO OF.</t>
  </si>
  <si>
    <t>(165-ATM - OF. ALBORADA NORTE 1) +  (166-ATM - OF. ALBORADA NORTE 2) +  (A0003-ALBORADA NORTE)</t>
  </si>
  <si>
    <t>-2.15271811535, -79.885611603149</t>
  </si>
  <si>
    <t>A0049</t>
  </si>
  <si>
    <t>VENTANILLA DE EXTENSION</t>
  </si>
  <si>
    <t>ATM - OF. ALBORADA AUTOCAJERO</t>
  </si>
  <si>
    <t>A0049-AEROPUERTO ADUANAS</t>
  </si>
  <si>
    <t>(4-ATM - OF. ALBORADA AUTOCAJERO)</t>
  </si>
  <si>
    <t>145</t>
  </si>
  <si>
    <t>ATM - AEROPUERTO GYE. 2 OF.</t>
  </si>
  <si>
    <t>ALBORADA ORELLANA</t>
  </si>
  <si>
    <t>145-ATM - AEROPUERTO GYE. 2 OF.</t>
  </si>
  <si>
    <t>(51-ATM - OF. ALBORADA PEATONAL) +  (470-ATM - OF. ALBORADA RECICLADOR) +  (A0002-ALBORADA)</t>
  </si>
  <si>
    <t>-2.1479507455355, -79.884499354492</t>
  </si>
  <si>
    <t>A0050</t>
  </si>
  <si>
    <t>AMBATO CENTRO</t>
  </si>
  <si>
    <t>A0050-AEROPUERTO J.J. DE OLMEDO</t>
  </si>
  <si>
    <t>(48-ATM - OF. AMBATO CENTRO) +  (A0074-AMBATO)</t>
  </si>
  <si>
    <t>165</t>
  </si>
  <si>
    <t>ATM - OF. ALBORADA NORTE 1</t>
  </si>
  <si>
    <t>ALBORADA NORTE</t>
  </si>
  <si>
    <t>Medio (Se inunda la calle)</t>
  </si>
  <si>
    <t>Medio (Se inunda la calle)Media (Cortes esporádicos)</t>
  </si>
  <si>
    <t>N2 Alto</t>
  </si>
  <si>
    <t>ARCA CALDERON</t>
  </si>
  <si>
    <t>165-ATM - OF. ALBORADA NORTE 1</t>
  </si>
  <si>
    <t>(A0092-ARCA CALDERON)</t>
  </si>
  <si>
    <t>-2.1335977860225, -79.904058839287</t>
  </si>
  <si>
    <t>166</t>
  </si>
  <si>
    <t>ATM - OF. ALBORADA NORTE 2</t>
  </si>
  <si>
    <t>ARCA HUAYANAY QUITO</t>
  </si>
  <si>
    <t>166-ATM - OF. ALBORADA NORTE 2</t>
  </si>
  <si>
    <t>(A0091-ARCA HUAYANAY QUITO)</t>
  </si>
  <si>
    <t>A0003</t>
  </si>
  <si>
    <t>ARCA JUAN TANCA MARENGO</t>
  </si>
  <si>
    <t>A0003-ALBORADA NORTE</t>
  </si>
  <si>
    <t>(A0035-ARCA JUAN TANCA MARENGO)</t>
  </si>
  <si>
    <t>4</t>
  </si>
  <si>
    <t>MATRIZ-TEVCOL</t>
  </si>
  <si>
    <t>ISLA</t>
  </si>
  <si>
    <t>ARCA OTAVALO</t>
  </si>
  <si>
    <t>4-ATM - OF. ALBORADA AUTOCAJERO</t>
  </si>
  <si>
    <t>(A0100-ARCA OTAVALO)</t>
  </si>
  <si>
    <t>-2.1477533987468, -79.899858642948</t>
  </si>
  <si>
    <t>51</t>
  </si>
  <si>
    <t>ATM - OF. ALBORADA PEATONAL</t>
  </si>
  <si>
    <t>ALBORADA</t>
  </si>
  <si>
    <t>ARCA PARQUE INDUSTRIAL CUENCA</t>
  </si>
  <si>
    <t>51-ATM - OF. ALBORADA PEATONAL</t>
  </si>
  <si>
    <t>(A0090-ARCA PARQUE INDUSTRIAL CUENCA)</t>
  </si>
  <si>
    <t>470</t>
  </si>
  <si>
    <t>ATM - OF. ALBORADA RECICLADOR</t>
  </si>
  <si>
    <t>ARCA PORTOVIEJO</t>
  </si>
  <si>
    <t>470-ATM - OF. ALBORADA RECICLADOR</t>
  </si>
  <si>
    <t>(402-ATM - ARCA PORTOVIEJO) +  (A0037-ARCA PORTOVIEJO)</t>
  </si>
  <si>
    <t>A0002</t>
  </si>
  <si>
    <t>ALBORADA</t>
  </si>
  <si>
    <t>ARCA QUEVEDO</t>
  </si>
  <si>
    <t>A0002-ALBORADA</t>
  </si>
  <si>
    <t>(422-ATM - ARCA QUEVEDO) +  (A0038-ARCA QUEVEDO)</t>
  </si>
  <si>
    <t>48</t>
  </si>
  <si>
    <t>ATM - OF. AMBATO CENTRO</t>
  </si>
  <si>
    <t>AMBATO</t>
  </si>
  <si>
    <t>Crítico (Se inunda punto de atención)</t>
  </si>
  <si>
    <t>AMBATO</t>
  </si>
  <si>
    <t>Crítico (Se inunda punto de atención)Media (Cortes esporádicos)</t>
  </si>
  <si>
    <t>N1 Crítico</t>
  </si>
  <si>
    <t>ARCA SANTO DOMINGO</t>
  </si>
  <si>
    <t>48-ATM - OF. AMBATO CENTRO</t>
  </si>
  <si>
    <t>(A0039-ARCA SANTO DOMINGO)</t>
  </si>
  <si>
    <t>-1.2413417400182, -78.628491327921</t>
  </si>
  <si>
    <t>A0074</t>
  </si>
  <si>
    <t>ARCA VIA A DAULE</t>
  </si>
  <si>
    <t>A0074-AMBATO</t>
  </si>
  <si>
    <t>(A0040-ARCA VIA A DAULE)</t>
  </si>
  <si>
    <t>A0092</t>
  </si>
  <si>
    <t>VENTANILLA DE EMPRESA</t>
  </si>
  <si>
    <t>ARCA VIA PASAJE MACHALA</t>
  </si>
  <si>
    <t>A0092-ARCA CALDERON</t>
  </si>
  <si>
    <t>(A0036-ARCA VIA PASAJE MACHALA)</t>
  </si>
  <si>
    <t>-0.10572923708953, -78.443399190862</t>
  </si>
  <si>
    <t>A0091</t>
  </si>
  <si>
    <t>ATM - ACERO COMERCIAL QUITO</t>
  </si>
  <si>
    <t>A0091-ARCA HUAYANAY QUITO</t>
  </si>
  <si>
    <t>(150-ATM - ACERO COMERCIAL QUITO)</t>
  </si>
  <si>
    <t>-0.30416769242810987, -78.54273899138401</t>
  </si>
  <si>
    <t>A0035</t>
  </si>
  <si>
    <t>ATM - ALHAMBRA SHOPPING</t>
  </si>
  <si>
    <t>A0035-ARCA JUAN TANCA MARENGO</t>
  </si>
  <si>
    <t>(443-ATM - ALHAMBRA SHOPPING)</t>
  </si>
  <si>
    <t>-2.1436198698285, -79.914839904091</t>
  </si>
  <si>
    <t>A0100</t>
  </si>
  <si>
    <t>OTAVALO</t>
  </si>
  <si>
    <t>NO</t>
  </si>
  <si>
    <t>ATM - ALMAX CENTER</t>
  </si>
  <si>
    <t>A0100-ARCA OTAVALO</t>
  </si>
  <si>
    <t>(548-ATM - ALMAX CENTER)</t>
  </si>
  <si>
    <t>0.276139, -78.239348</t>
  </si>
  <si>
    <t>A0090</t>
  </si>
  <si>
    <t>Miguel Rojas</t>
  </si>
  <si>
    <t>Alta (Corte inmediato)</t>
  </si>
  <si>
    <t>CUENCA</t>
  </si>
  <si>
    <t>Bajo / SeguroAlta (Corte inmediato)</t>
  </si>
  <si>
    <t>ATM - ARCA EL INCA</t>
  </si>
  <si>
    <t>A0090-ARCA PARQUE INDUSTRIAL CUENCA</t>
  </si>
  <si>
    <t>(399-ATM - ARCA EL INCA)</t>
  </si>
  <si>
    <t>-2.881478, -78.975129</t>
  </si>
  <si>
    <t>402</t>
  </si>
  <si>
    <t>ATM - ARCA PORTOVIEJO</t>
  </si>
  <si>
    <t>PORTOVIEJO</t>
  </si>
  <si>
    <t>José Mendoza</t>
  </si>
  <si>
    <t>PORTOVIEJO</t>
  </si>
  <si>
    <t>ATM - ARCA JUAN TANCA MARENGO</t>
  </si>
  <si>
    <t>402-ATM - ARCA PORTOVIEJO</t>
  </si>
  <si>
    <t>(398-ATM - ARCA JUAN TANCA MARENGO)</t>
  </si>
  <si>
    <t>-1.073357, -80.444453</t>
  </si>
  <si>
    <t>A0037</t>
  </si>
  <si>
    <t>ATM - ARCA QUITO CALDERON</t>
  </si>
  <si>
    <t>A0037-ARCA PORTOVIEJO</t>
  </si>
  <si>
    <t>(396-ATM - ARCA QUITO CALDERON)</t>
  </si>
  <si>
    <t>422</t>
  </si>
  <si>
    <t>ATM - ARCA QUEVEDO</t>
  </si>
  <si>
    <t>QUEVEDO</t>
  </si>
  <si>
    <t>Fabián Burgos</t>
  </si>
  <si>
    <t>QUEVEDO</t>
  </si>
  <si>
    <t>ATM - ARCA SANTO DOMINGO</t>
  </si>
  <si>
    <t>422-ATM - ARCA QUEVEDO</t>
  </si>
  <si>
    <t>(397-ATM - ARCA SANTO DOMINGO)</t>
  </si>
  <si>
    <t>-0.97913, -79.440004</t>
  </si>
  <si>
    <t>A0038</t>
  </si>
  <si>
    <t>ATM - ARCA VIA A DAULE</t>
  </si>
  <si>
    <t>A0038-ARCA QUEVEDO</t>
  </si>
  <si>
    <t>(395-ATM - ARCA VIA A DAULE)</t>
  </si>
  <si>
    <t>A0039</t>
  </si>
  <si>
    <t>Carlos Morán</t>
  </si>
  <si>
    <t>SANTO DOMINGO</t>
  </si>
  <si>
    <t>ATM - ATARAZANA HOSP. R. GILBERT</t>
  </si>
  <si>
    <t>A0039-ARCA SANTO DOMINGO</t>
  </si>
  <si>
    <t>(108-ATM - ATARAZANA HOSP. R. GILBERT)</t>
  </si>
  <si>
    <t>-0.25710976049203, -79.204541208058</t>
  </si>
  <si>
    <t>A0040</t>
  </si>
  <si>
    <t>ATM - AV. LA ECUATORIANA</t>
  </si>
  <si>
    <t>A0040-ARCA VIA A DAULE</t>
  </si>
  <si>
    <t>(437-ATM - AV. LA ECUATORIANA)</t>
  </si>
  <si>
    <t>-2.110533, -79.937646</t>
  </si>
  <si>
    <t>A0036</t>
  </si>
  <si>
    <t>Washington Reyes</t>
  </si>
  <si>
    <t>MACHALA</t>
  </si>
  <si>
    <t>Medio (Se inunda la calle)Alta (Corte inmediato)</t>
  </si>
  <si>
    <t>ATM - AVICOLA FERNANDEZ , AV. ISI</t>
  </si>
  <si>
    <t>A0036-ARCA VIA PASAJE MACHALA</t>
  </si>
  <si>
    <t>(249-ATM - AVICOLA FERNANDEZ , AV. ISI)</t>
  </si>
  <si>
    <t>-3.274044, -79.935957</t>
  </si>
  <si>
    <t>150</t>
  </si>
  <si>
    <t>ATM - AVÍCOLA FERNANDEZ BABAHOYO</t>
  </si>
  <si>
    <t>150-ATM - ACERO COMERCIAL QUITO</t>
  </si>
  <si>
    <t>(496-ATM - AVÍCOLA FERNANDEZ BABAHOYO)</t>
  </si>
  <si>
    <t>-0.158622, -78.488167</t>
  </si>
  <si>
    <t>443</t>
  </si>
  <si>
    <t>ATM - C.C. LA ROTONDA OF.</t>
  </si>
  <si>
    <t>443-ATM - ALHAMBRA SHOPPING</t>
  </si>
  <si>
    <t>(78-ATM - C.C. LA ROTONDA OF.)</t>
  </si>
  <si>
    <t>-2.1321674386286, -79.863631417214</t>
  </si>
  <si>
    <t>548</t>
  </si>
  <si>
    <t>ATM - C.C. MALECON</t>
  </si>
  <si>
    <t>548-ATM - ALMAX CENTER</t>
  </si>
  <si>
    <t>(19-ATM - C.C. MALECON)</t>
  </si>
  <si>
    <t>-2.03712726187108, -79.8490244949786</t>
  </si>
  <si>
    <t>399</t>
  </si>
  <si>
    <t>ATM - C.C. OASIS</t>
  </si>
  <si>
    <t>399-ATM - ARCA EL INCA</t>
  </si>
  <si>
    <t>(484-ATM - C.C. OASIS)</t>
  </si>
  <si>
    <t>-0.15343833908749, -78.478335089008</t>
  </si>
  <si>
    <t>398</t>
  </si>
  <si>
    <t>Baja (Línea prioritaria)</t>
  </si>
  <si>
    <t>Medio (Se inunda la calle)Baja (Línea prioritaria)</t>
  </si>
  <si>
    <t>ATM - C.C. PASEO LIBERTAD</t>
  </si>
  <si>
    <t>398-ATM - ARCA JUAN TANCA MARENGO</t>
  </si>
  <si>
    <t>(65-ATM - C.C. PASEO LIBERTAD)</t>
  </si>
  <si>
    <t>-2.142993, -79.916595</t>
  </si>
  <si>
    <t>396</t>
  </si>
  <si>
    <t>ATM - C.C. PASEO MANTA</t>
  </si>
  <si>
    <t>396-ATM - ARCA QUITO CALDERON</t>
  </si>
  <si>
    <t>(64-ATM - C.C. PASEO MANTA)</t>
  </si>
  <si>
    <t>-0.108239, -78.446055</t>
  </si>
  <si>
    <t>397</t>
  </si>
  <si>
    <t>SANTO DOMINGO</t>
  </si>
  <si>
    <t>ATM - C.C. PASEO MILAGRO PATIO DE</t>
  </si>
  <si>
    <t>397-ATM - ARCA SANTO DOMINGO</t>
  </si>
  <si>
    <t>(102-ATM - C.C. PASEO MILAGRO PATIO DE)</t>
  </si>
  <si>
    <t>-0.2571447525549416, -79.20396733594352</t>
  </si>
  <si>
    <t>395</t>
  </si>
  <si>
    <t>ATM - C.C. PASEO PORTOVIEJO MI CO</t>
  </si>
  <si>
    <t>395-ATM - ARCA VIA A DAULE</t>
  </si>
  <si>
    <t>(66-ATM - C.C. PASEO PORTOVIEJO MI CO)</t>
  </si>
  <si>
    <t>108</t>
  </si>
  <si>
    <t>ATM - C.C. PLAZA NOVA KM. 2.5 VIA</t>
  </si>
  <si>
    <t>108-ATM - ATARAZANA HOSP. R. GILBERT</t>
  </si>
  <si>
    <t>(294-ATM - C.C. PLAZA NOVA KM. 2.5 VIA)</t>
  </si>
  <si>
    <t>-2.1770491363457, -79.883544288361</t>
  </si>
  <si>
    <t>437</t>
  </si>
  <si>
    <t>ATM - C.C. RIOCENTRO ENTRE RIOS</t>
  </si>
  <si>
    <t>437-ATM - AV. LA ECUATORIANA</t>
  </si>
  <si>
    <t>(30-ATM - C.C. RIOCENTRO ENTRE RIOS)</t>
  </si>
  <si>
    <t>-0.31099358609434, -78.56456796898</t>
  </si>
  <si>
    <t>249</t>
  </si>
  <si>
    <t>ATM - C.C. RIOCENTRO SUR HYPERMAR</t>
  </si>
  <si>
    <t>249-ATM - AVICOLA FERNANDEZ , AV. ISI</t>
  </si>
  <si>
    <t>(86-ATM - C.C. RIOCENTRO SUR HYPERMAR)</t>
  </si>
  <si>
    <t>-2.1203334693724, -79.900600195107</t>
  </si>
  <si>
    <t>496</t>
  </si>
  <si>
    <t>BABAHOYO</t>
  </si>
  <si>
    <t>ATM - C.CONVENCION LISTO</t>
  </si>
  <si>
    <t>496-ATM - AVÍCOLA FERNANDEZ BABAHOYO</t>
  </si>
  <si>
    <t>(453-ATM - C.CONVENCION LISTO)</t>
  </si>
  <si>
    <t>-1.799965, -79.531699</t>
  </si>
  <si>
    <t>78</t>
  </si>
  <si>
    <t>ATM - CARNISARIATO DELCORRAL GOME</t>
  </si>
  <si>
    <t>78-ATM - C.C. LA ROTONDA OF.</t>
  </si>
  <si>
    <t>(268-ATM - CARNISARIATO DELCORRAL GOME)</t>
  </si>
  <si>
    <t>-2.1391045728212, -79.908231034393</t>
  </si>
  <si>
    <t>19</t>
  </si>
  <si>
    <t>ATM - CC MALL DEL SOL</t>
  </si>
  <si>
    <t>19-ATM - C.C. MALECON</t>
  </si>
  <si>
    <t>(321-ATM - CC MALL DEL SOL)</t>
  </si>
  <si>
    <t>-2.1975819991814, -79.880894023025</t>
  </si>
  <si>
    <t>484</t>
  </si>
  <si>
    <t>ATM - CC MONAY SHOPPING</t>
  </si>
  <si>
    <t>484-ATM - C.C. OASIS</t>
  </si>
  <si>
    <t>(510-ATM - CC MONAY SHOPPING)</t>
  </si>
  <si>
    <t>-2.0639911781489, -79.908123080673</t>
  </si>
  <si>
    <t>65</t>
  </si>
  <si>
    <t>SALINAS</t>
  </si>
  <si>
    <t>ATM - CD DIFARE</t>
  </si>
  <si>
    <t>65-ATM - C.C. PASEO LIBERTAD</t>
  </si>
  <si>
    <t>(489-ATM - CD DIFARE)</t>
  </si>
  <si>
    <t>-2.2259149907482, -80.921130024467</t>
  </si>
  <si>
    <t>64</t>
  </si>
  <si>
    <t>MANTA</t>
  </si>
  <si>
    <t>ATM - CD EL ROSADO</t>
  </si>
  <si>
    <t>64-ATM - C.C. PASEO MANTA</t>
  </si>
  <si>
    <t>(456-ATM - CD EL ROSADO)</t>
  </si>
  <si>
    <t>-0.96635436268373, -80.705825555278</t>
  </si>
  <si>
    <t>102</t>
  </si>
  <si>
    <t>MILAGRO</t>
  </si>
  <si>
    <t>ATM - CD TUTI VIA DAULE</t>
  </si>
  <si>
    <t>102-ATM - C.C. PASEO MILAGRO PATIO DE</t>
  </si>
  <si>
    <t>(513-ATM - CD TUTI VIA DAULE)</t>
  </si>
  <si>
    <t>-2.1364964620815, -79.594431549598</t>
  </si>
  <si>
    <t>66</t>
  </si>
  <si>
    <t>ATM - CENTRO PLAYAS</t>
  </si>
  <si>
    <t>66-ATM - C.C. PASEO PORTOVIEJO MI CO</t>
  </si>
  <si>
    <t>(250-ATM - CENTRO PLAYAS)</t>
  </si>
  <si>
    <t>-1.0611303680668, -80.465528737434</t>
  </si>
  <si>
    <t>294</t>
  </si>
  <si>
    <t>ATM - CENTRO PORTOVIEJO</t>
  </si>
  <si>
    <t>294-ATM - C.C. PLAZA NOVA KM. 2.5 VIA</t>
  </si>
  <si>
    <t>(435-ATM - CENTRO PORTOVIEJO)</t>
  </si>
  <si>
    <t>-2.1297677392416, -79.864119169312</t>
  </si>
  <si>
    <t>30</t>
  </si>
  <si>
    <t>ATM - COMISARIATO LA FLORIDA</t>
  </si>
  <si>
    <t>30-ATM - C.C. RIOCENTRO ENTRE RIOS</t>
  </si>
  <si>
    <t>(448-ATM - COMISARIATO LA FLORIDA)</t>
  </si>
  <si>
    <t>-2.1416837492179, -79.86476890903</t>
  </si>
  <si>
    <t>86</t>
  </si>
  <si>
    <t>ATM - CONTECOM AV. DE LA MARINA,</t>
  </si>
  <si>
    <t>86-ATM - C.C. RIOCENTRO SUR HYPERMAR</t>
  </si>
  <si>
    <t>(299-ATM - CONTECOM AV. DE LA MARINA,)</t>
  </si>
  <si>
    <t>-2.241638, -79.894834</t>
  </si>
  <si>
    <t>453</t>
  </si>
  <si>
    <t>ATM - DEL PORTAL CIUDAD CELESTE</t>
  </si>
  <si>
    <t>453-ATM - C.CONVENCION LISTO</t>
  </si>
  <si>
    <t>(550-ATM - DEL PORTAL CIUDAD CELESTE)</t>
  </si>
  <si>
    <t>-2.1595117314442, -79.888602073</t>
  </si>
  <si>
    <t>268</t>
  </si>
  <si>
    <t>ATM - DEL PORTAL LA JOYA</t>
  </si>
  <si>
    <t>268-ATM - CARNISARIATO DELCORRAL GOME</t>
  </si>
  <si>
    <t>(483-ATM - DEL PORTAL LA JOYA)</t>
  </si>
  <si>
    <t>-2.19427, -79.925333</t>
  </si>
  <si>
    <t>321</t>
  </si>
  <si>
    <t>ATM - DEL PORTAL VILLA CLUB</t>
  </si>
  <si>
    <t>321-ATM - CC MALL DEL SOL</t>
  </si>
  <si>
    <t>(431-ATM - DEL PORTAL VILLA CLUB)</t>
  </si>
  <si>
    <t>-2.155271363251, -79.890638596926</t>
  </si>
  <si>
    <t>510</t>
  </si>
  <si>
    <t>ATM - DIPOR VIA A DAULE</t>
  </si>
  <si>
    <t>510-ATM - CC MONAY SHOPPING</t>
  </si>
  <si>
    <t>(444-ATM - DIPOR VIA A DAULE)</t>
  </si>
  <si>
    <t>-2.8971729126886, -78.976930190856</t>
  </si>
  <si>
    <t>489</t>
  </si>
  <si>
    <t>ATM - DOS CHORRERAS</t>
  </si>
  <si>
    <t>489-ATM - CD DIFARE</t>
  </si>
  <si>
    <t>(534-ATM - DOS CHORRERAS)</t>
  </si>
  <si>
    <t>-2.0274252137779, -79.950484750383</t>
  </si>
  <si>
    <t>456</t>
  </si>
  <si>
    <t>ATM - DURAN BUSINESS CENTER</t>
  </si>
  <si>
    <t>456-ATM - CD EL ROSADO</t>
  </si>
  <si>
    <t>(497-ATM - DURAN BUSINESS CENTER)</t>
  </si>
  <si>
    <t>-2.0380955047026, -79.945506099198</t>
  </si>
  <si>
    <t>513</t>
  </si>
  <si>
    <t>ATM - DURAN EL RECREO 3 ETAPA</t>
  </si>
  <si>
    <t>513-ATM - CD TUTI VIA DAULE</t>
  </si>
  <si>
    <t>(546-ATM - DURAN EL RECREO 3 ETAPA)</t>
  </si>
  <si>
    <t>-1.998157497178, -79.968113919695</t>
  </si>
  <si>
    <t>250</t>
  </si>
  <si>
    <t>ATM - ECOTEC</t>
  </si>
  <si>
    <t>250-ATM - CENTRO PLAYAS</t>
  </si>
  <si>
    <t>(511-ATM - ECOTEC)</t>
  </si>
  <si>
    <t>-2.635617, -80.390509</t>
  </si>
  <si>
    <t>435</t>
  </si>
  <si>
    <t>Crítico (Se inunda punto de atención)Alta (Corte inmediato)</t>
  </si>
  <si>
    <t>ATM - FAR. CRUZ AZUL SAUCES 9</t>
  </si>
  <si>
    <t>435-ATM - CENTRO PORTOVIEJO</t>
  </si>
  <si>
    <t>(334-ATM - FAR. CRUZ AZUL SAUCES 9)</t>
  </si>
  <si>
    <t>-1.051107, -80.453972</t>
  </si>
  <si>
    <t>448</t>
  </si>
  <si>
    <t>ATM - FARM. CRUZ AZUL MARTHA DE R</t>
  </si>
  <si>
    <t>448-ATM - COMISARIATO LA FLORIDA</t>
  </si>
  <si>
    <t>(131-ATM - FARM. CRUZ AZUL MARTHA DE R)</t>
  </si>
  <si>
    <t>-2.130234, -79.932355</t>
  </si>
  <si>
    <t>299</t>
  </si>
  <si>
    <t>ATM - FARM. CRUZ AZUL POMASQUI</t>
  </si>
  <si>
    <t>299-ATM - CONTECOM AV. DE LA MARINA,</t>
  </si>
  <si>
    <t>(451-ATM - FARM. CRUZ AZUL POMASQUI)</t>
  </si>
  <si>
    <t>-2.2794737942448, -79.906965462122</t>
  </si>
  <si>
    <t>550</t>
  </si>
  <si>
    <t>SAMBORONDON</t>
  </si>
  <si>
    <t>ATM - FARM. DROMAYOR</t>
  </si>
  <si>
    <t>550-ATM - DEL PORTAL CIUDAD CELESTE</t>
  </si>
  <si>
    <t>(117-ATM - FARM. DROMAYOR)</t>
  </si>
  <si>
    <t>-2.07606794265836, -79.8531456622234</t>
  </si>
  <si>
    <t>483</t>
  </si>
  <si>
    <t>ATM - FARM. PHARMACYS BATAN BAJO</t>
  </si>
  <si>
    <t>483-ATM - DEL PORTAL LA JOYA</t>
  </si>
  <si>
    <t>(125-ATM - FARM. PHARMACYS BATAN BAJO)</t>
  </si>
  <si>
    <t>-2.0406102042185, -79.91401820734</t>
  </si>
  <si>
    <t>431</t>
  </si>
  <si>
    <t>ATM - FARM. VICTORIA 29 Y ORIENTE</t>
  </si>
  <si>
    <t>431-ATM - DEL PORTAL VILLA CLUB</t>
  </si>
  <si>
    <t>(151-ATM - FARM. VICTORIA 29 Y ORIENTE)</t>
  </si>
  <si>
    <t>-2.0491, -79.889421</t>
  </si>
  <si>
    <t>444</t>
  </si>
  <si>
    <t>ATM - FLORIDA NORTE</t>
  </si>
  <si>
    <t>444-ATM - DIPOR VIA A DAULE</t>
  </si>
  <si>
    <t>(210-ATM - FLORIDA NORTE)</t>
  </si>
  <si>
    <t>-2.1069115318805385, -79.93182388127495</t>
  </si>
  <si>
    <t>534</t>
  </si>
  <si>
    <t>ATM - FLORIDA NORTE 2</t>
  </si>
  <si>
    <t>534-ATM - DOS CHORRERAS</t>
  </si>
  <si>
    <t>(394-ATM - FLORIDA NORTE 2)</t>
  </si>
  <si>
    <t>-2.786915, -79.16598</t>
  </si>
  <si>
    <t>497</t>
  </si>
  <si>
    <t>ATM - GARZOCENTRO SHOPPING CENTER</t>
  </si>
  <si>
    <t>497-ATM - DURAN BUSINESS CENTER</t>
  </si>
  <si>
    <t>(458-ATM - GARZOCENTRO SHOPPING CENTER)</t>
  </si>
  <si>
    <t>-2.188029909433, -79.827955918632</t>
  </si>
  <si>
    <t>546</t>
  </si>
  <si>
    <t>DURAN</t>
  </si>
  <si>
    <t>Baterias</t>
  </si>
  <si>
    <t>ATM - GAS PETROCOMERCIAL SUR</t>
  </si>
  <si>
    <t>546-ATM - DURAN EL RECREO 3 ETAPA</t>
  </si>
  <si>
    <t>(233-ATM - GAS PETROCOMERCIAL SUR)</t>
  </si>
  <si>
    <t>-2.17431566775777, -79.8037642790764</t>
  </si>
  <si>
    <t>511</t>
  </si>
  <si>
    <t>ATM - GAS. HERMANO MIGUEL AV. 25</t>
  </si>
  <si>
    <t>511-ATM - ECOTEC</t>
  </si>
  <si>
    <t>(247-ATM - GAS. HERMANO MIGUEL AV. 25)</t>
  </si>
  <si>
    <t>-2.0383602154564, -79.857352980223</t>
  </si>
  <si>
    <t>334</t>
  </si>
  <si>
    <t>ATM - GAS. PDV TERMINAL PASCUALES</t>
  </si>
  <si>
    <t>334-ATM - FAR. CRUZ AZUL SAUCES 9</t>
  </si>
  <si>
    <t>(429-ATM - GAS. PDV TERMINAL PASCUALES)</t>
  </si>
  <si>
    <t>-2.128026, -79.892673</t>
  </si>
  <si>
    <t>131</t>
  </si>
  <si>
    <t>ATM - GAS. PETROLEOS Y SERVICIOS</t>
  </si>
  <si>
    <t>131-ATM - FARM. CRUZ AZUL MARTHA DE R</t>
  </si>
  <si>
    <t>(159-ATM - GAS. PETROLEOS Y SERVICIOS)</t>
  </si>
  <si>
    <t>-2.1450553375999, -79.922635587483</t>
  </si>
  <si>
    <t>451</t>
  </si>
  <si>
    <t>ATM - GAS. PETROMAR</t>
  </si>
  <si>
    <t>451-ATM - FARM. CRUZ AZUL POMASQUI</t>
  </si>
  <si>
    <t>(474-ATM - GAS. PETROMAR)</t>
  </si>
  <si>
    <t>-0.054045, -78.455478</t>
  </si>
  <si>
    <t>117</t>
  </si>
  <si>
    <t>ATM - GAS. TERPEL GUAYACANES</t>
  </si>
  <si>
    <t>117-ATM - FARM. DROMAYOR</t>
  </si>
  <si>
    <t>(352-ATM - GAS. TERPEL GUAYACANES)</t>
  </si>
  <si>
    <t>-2.186439, -79.88382</t>
  </si>
  <si>
    <t>125</t>
  </si>
  <si>
    <t>ATM - GAS. TERPEL VIA COSTA</t>
  </si>
  <si>
    <t>125-ATM - FARM. PHARMACYS BATAN BAJO</t>
  </si>
  <si>
    <t>(17-ATM - GAS. TERPEL VIA COSTA)</t>
  </si>
  <si>
    <t>-0.18534561055841, -78.478990546681</t>
  </si>
  <si>
    <t>151</t>
  </si>
  <si>
    <t>ATM - GISIS</t>
  </si>
  <si>
    <t>151-ATM - FARM. VICTORIA 29 Y ORIENTE</t>
  </si>
  <si>
    <t>(464-ATM - GISIS)</t>
  </si>
  <si>
    <t>-2.2111070203254, -79.930980380145</t>
  </si>
  <si>
    <t>210</t>
  </si>
  <si>
    <t>ATM - GRUPASA</t>
  </si>
  <si>
    <t>210-ATM - FLORIDA NORTE</t>
  </si>
  <si>
    <t>(367-ATM - GRUPASA)</t>
  </si>
  <si>
    <t>-2.128815, -79.93605</t>
  </si>
  <si>
    <t>394</t>
  </si>
  <si>
    <t>ATM - HIPER DE MUCHO LOTE 2</t>
  </si>
  <si>
    <t>394-ATM - FLORIDA NORTE 2</t>
  </si>
  <si>
    <t>(455-ATM - HIPER DE MUCHO LOTE 2)</t>
  </si>
  <si>
    <t>458</t>
  </si>
  <si>
    <t>ATM - HIPER EL BUIJO</t>
  </si>
  <si>
    <t>458-ATM - GARZOCENTRO SHOPPING CENTER</t>
  </si>
  <si>
    <t>(545-ATM - HIPER EL BUIJO)</t>
  </si>
  <si>
    <t>-2.144117, -79.89329</t>
  </si>
  <si>
    <t>233</t>
  </si>
  <si>
    <t>ATM - HIPER VIA A LA COSTA</t>
  </si>
  <si>
    <t>233-ATM - GAS PETROCOMERCIAL SUR</t>
  </si>
  <si>
    <t>(355-ATM - HIPER VIA A LA COSTA)</t>
  </si>
  <si>
    <t>-2.2638741159323, -79.896355449995</t>
  </si>
  <si>
    <t>247</t>
  </si>
  <si>
    <t>ATM - HIPERMARKET AV. LAS AMERICA</t>
  </si>
  <si>
    <t>247-ATM - GAS. HERMANO MIGUEL AV. 25</t>
  </si>
  <si>
    <t>(261-ATM - HIPERMARKET AV. LAS AMERICA)</t>
  </si>
  <si>
    <t>-2.2509256027895, -79.89407117791</t>
  </si>
  <si>
    <t>429</t>
  </si>
  <si>
    <t>ATM - HIPERMARKET LA AURORA</t>
  </si>
  <si>
    <t>429-ATM - GAS. PDV TERMINAL PASCUALES</t>
  </si>
  <si>
    <t>(350-ATM - HIPERMARKET LA AURORA)</t>
  </si>
  <si>
    <t>-2.0787363639702, -79.896649847885</t>
  </si>
  <si>
    <t>159</t>
  </si>
  <si>
    <t>ATM - HIPERMARKET MONTECRISTI</t>
  </si>
  <si>
    <t>159-ATM - GAS. PETROLEOS Y SERVICIOS</t>
  </si>
  <si>
    <t>(454-ATM - HIPERMARKET MONTECRISTI)</t>
  </si>
  <si>
    <t>-2.140413, -80.777271</t>
  </si>
  <si>
    <t>474</t>
  </si>
  <si>
    <t>ATM - HIPERMARKET PORTOVIEJO</t>
  </si>
  <si>
    <t>474-ATM - GAS. PETROMAR</t>
  </si>
  <si>
    <t>(478-ATM - HIPERMARKET PORTOVIEJO)</t>
  </si>
  <si>
    <t>-2.2030739730031, -79.915665377806</t>
  </si>
  <si>
    <t>352</t>
  </si>
  <si>
    <t>ATM - HIPERMARKET VIA DAULE 12.5</t>
  </si>
  <si>
    <t>352-ATM - GAS. TERPEL GUAYACANES</t>
  </si>
  <si>
    <t>(348-ATM - HIPERMARKET VIA DAULE 12.5)</t>
  </si>
  <si>
    <t>-2.1212738859357, -79.899860419643</t>
  </si>
  <si>
    <t>17</t>
  </si>
  <si>
    <t>ATM - HOSP. NIÑO GOMEZ RENDON</t>
  </si>
  <si>
    <t>17-ATM - GAS. TERPEL VIA COSTA</t>
  </si>
  <si>
    <t>(372-ATM - HOSP. NIÑO GOMEZ RENDON)</t>
  </si>
  <si>
    <t>-2.2147066028385, -80.079164378199</t>
  </si>
  <si>
    <t>464</t>
  </si>
  <si>
    <t>ATM - HOSP. SOLCA P. MENENDEZ GIL</t>
  </si>
  <si>
    <t>464-ATM - GISIS</t>
  </si>
  <si>
    <t>(91-ATM - HOSP. SOLCA P. MENENDEZ GIL)</t>
  </si>
  <si>
    <t>-2.2138081853517, -79.824929546887</t>
  </si>
  <si>
    <t>367</t>
  </si>
  <si>
    <t>ATM - HOSP. UNIVERSITARIO</t>
  </si>
  <si>
    <t>367-ATM - GRUPASA</t>
  </si>
  <si>
    <t>(531-ATM - HOSP. UNIVERSITARIO)</t>
  </si>
  <si>
    <t>-2.10128425712574, -79.9365974717109</t>
  </si>
  <si>
    <t>455</t>
  </si>
  <si>
    <t>ATM - HOSPITAL LUIS VERNAZA</t>
  </si>
  <si>
    <t>455-ATM - HIPER DE MUCHO LOTE 2</t>
  </si>
  <si>
    <t>(190-ATM - HOSPITAL LUIS VERNAZA)</t>
  </si>
  <si>
    <t>-2.0693902345394, -79.898141321426</t>
  </si>
  <si>
    <t>545</t>
  </si>
  <si>
    <t>ATM - HOTEL MONTAÑITA</t>
  </si>
  <si>
    <t>545-ATM - HIPER EL BUIJO</t>
  </si>
  <si>
    <t>(152-ATM - HOTEL MONTAÑITA)</t>
  </si>
  <si>
    <t>-2.076268, -79.857469</t>
  </si>
  <si>
    <t>355</t>
  </si>
  <si>
    <t>ATM - HYPER PEDRO MENENDEZ</t>
  </si>
  <si>
    <t>355-ATM - HIPER VIA A LA COSTA</t>
  </si>
  <si>
    <t>(472-ATM - HYPER PEDRO MENENDEZ)</t>
  </si>
  <si>
    <t>-2.181969, -79.995842</t>
  </si>
  <si>
    <t>261</t>
  </si>
  <si>
    <t>ATM - HYPER VIA A LA COSTA 2</t>
  </si>
  <si>
    <t>261-ATM - HIPERMARKET AV. LAS AMERICA</t>
  </si>
  <si>
    <t>(532-ATM - HYPER VIA A LA COSTA 2)</t>
  </si>
  <si>
    <t>-2.181347, -79.891819</t>
  </si>
  <si>
    <t>350</t>
  </si>
  <si>
    <t>ATM - HYPERMARKET ALBAN BORJA</t>
  </si>
  <si>
    <t>350-ATM - HIPERMARKET LA AURORA</t>
  </si>
  <si>
    <t>(118-ATM - HYPERMARKET ALBAN BORJA)</t>
  </si>
  <si>
    <t>-2.0541479735325, -79.873834894281</t>
  </si>
  <si>
    <t>454</t>
  </si>
  <si>
    <t>ATM - HYPERMARKET BALLENITA</t>
  </si>
  <si>
    <t>454-ATM - HIPERMARKET MONTECRISTI</t>
  </si>
  <si>
    <t>(388-ATM - HYPERMARKET BALLENITA)</t>
  </si>
  <si>
    <t>-1.006304, -80.685982</t>
  </si>
  <si>
    <t>478</t>
  </si>
  <si>
    <t>ATM - HYPERMARKET VIA DAULE</t>
  </si>
  <si>
    <t>478-ATM - HIPERMARKET PORTOVIEJO</t>
  </si>
  <si>
    <t>(106-ATM - HYPERMARKET VIA DAULE)</t>
  </si>
  <si>
    <t>-1.070723, -80.448011</t>
  </si>
  <si>
    <t>348</t>
  </si>
  <si>
    <t>ATM - INDUAUTO</t>
  </si>
  <si>
    <t>348-ATM - HIPERMARKET VIA DAULE 12.5</t>
  </si>
  <si>
    <t>(407-ATM - INDUAUTO)</t>
  </si>
  <si>
    <t>-2.093657, -79.937042</t>
  </si>
  <si>
    <t>372</t>
  </si>
  <si>
    <t>ATM - KFC EXPRESS LAS ESCLUSAS</t>
  </si>
  <si>
    <t>372-ATM - HOSP. NIÑO GOMEZ RENDON</t>
  </si>
  <si>
    <t>(418-ATM - KFC EXPRESS LAS ESCLUSAS)</t>
  </si>
  <si>
    <t>-2.202532, -79.892351</t>
  </si>
  <si>
    <t>91</t>
  </si>
  <si>
    <t>ATM - LA CUADRA</t>
  </si>
  <si>
    <t>91-ATM - HOSP. SOLCA P. MENENDEZ GIL</t>
  </si>
  <si>
    <t>(465-ATM - LA CUADRA)</t>
  </si>
  <si>
    <t>-2.173939, -79.879981</t>
  </si>
  <si>
    <t>531</t>
  </si>
  <si>
    <t>AZOGUES</t>
  </si>
  <si>
    <t>ATM - LA LUZ QUITO</t>
  </si>
  <si>
    <t>531-ATM - HOSP. UNIVERSITARIO</t>
  </si>
  <si>
    <t>(199-ATM - LA LUZ QUITO)</t>
  </si>
  <si>
    <t>-2.7508620147350187, -78.84869086136035</t>
  </si>
  <si>
    <t>190</t>
  </si>
  <si>
    <t>ATM - LISTO 9 DE OCTUBRE</t>
  </si>
  <si>
    <t>190-ATM - HOSPITAL LUIS VERNAZA</t>
  </si>
  <si>
    <t>(477-ATM - LISTO 9 DE OCTUBRE)</t>
  </si>
  <si>
    <t>-2.1829241009892, -79.881410434532</t>
  </si>
  <si>
    <t>152</t>
  </si>
  <si>
    <t>ATM - LOS CEIBOS FF AUTOCAJERO</t>
  </si>
  <si>
    <t>152-ATM - HOTEL MONTAÑITA</t>
  </si>
  <si>
    <t>(415-ATM - LOS CEIBOS FF AUTOCAJERO)</t>
  </si>
  <si>
    <t>-1.8266960736485, -80.753190150188</t>
  </si>
  <si>
    <t>472</t>
  </si>
  <si>
    <t>ATM - LOTERIA NACIONAL 9 DE OCTUB</t>
  </si>
  <si>
    <t>472-ATM - HYPER PEDRO MENENDEZ</t>
  </si>
  <si>
    <t>(408-ATM - LOTERIA NACIONAL 9 DE OCTUB)</t>
  </si>
  <si>
    <t>-2.1685807956796, -79.879049642853</t>
  </si>
  <si>
    <t>532</t>
  </si>
  <si>
    <t>ATM - MALECON DE SALINAS</t>
  </si>
  <si>
    <t>532-ATM - HYPER VIA A LA COSTA 2</t>
  </si>
  <si>
    <t>(480-ATM - MALECON DE SALINAS)</t>
  </si>
  <si>
    <t>-2.1975406675718, -80.059598953968</t>
  </si>
  <si>
    <t>118</t>
  </si>
  <si>
    <t>ATM - MANTA FLAVIO REYES Y CALLE</t>
  </si>
  <si>
    <t>118-ATM - HYPERMARKET ALBAN BORJA</t>
  </si>
  <si>
    <t>(301-ATM - MANTA FLAVIO REYES Y CALLE)</t>
  </si>
  <si>
    <t>-2.1707506252272, -79.916886046627</t>
  </si>
  <si>
    <t>388</t>
  </si>
  <si>
    <t>ATM - MAPASINGUE OESTE</t>
  </si>
  <si>
    <t>388-ATM - HYPERMARKET BALLENITA</t>
  </si>
  <si>
    <t>(216-ATM - MAPASINGUE OESTE)</t>
  </si>
  <si>
    <t>-2.2113564751355, -80.868662071398</t>
  </si>
  <si>
    <t>106</t>
  </si>
  <si>
    <t>ATM - MERCADO ARTESANAL 2</t>
  </si>
  <si>
    <t>106-ATM - HYPERMARKET VIA DAULE</t>
  </si>
  <si>
    <t>(533-ATM - MERCADO ARTESANAL 2)</t>
  </si>
  <si>
    <t>-2.1593596393913, -79.92793582209</t>
  </si>
  <si>
    <t>407</t>
  </si>
  <si>
    <t>ATM - MERCADO ARTESANAL, CALLE RE</t>
  </si>
  <si>
    <t>407-ATM - INDUAUTO</t>
  </si>
  <si>
    <t>(295-ATM - MERCADO ARTESANAL, CALLE RE)</t>
  </si>
  <si>
    <t>-2.165391, -79.923584</t>
  </si>
  <si>
    <t>418</t>
  </si>
  <si>
    <t>ATM - MI COMISARIATO J.T.M.</t>
  </si>
  <si>
    <t>418-ATM - KFC EXPRESS LAS ESCLUSAS</t>
  </si>
  <si>
    <t>(473-ATM - MI COMISARIATO J.T.M.)</t>
  </si>
  <si>
    <t>-2.261132, -79.878463</t>
  </si>
  <si>
    <t>465</t>
  </si>
  <si>
    <t>ATM - MI COMISARIATO LA JOYA</t>
  </si>
  <si>
    <t>465-ATM - LA CUADRA</t>
  </si>
  <si>
    <t>(538-ATM - MI COMISARIATO LA JOYA)</t>
  </si>
  <si>
    <t>-2.0535766783513, -79.916158661377</t>
  </si>
  <si>
    <t>199</t>
  </si>
  <si>
    <t>ATM - MINI PLUS GOMEZ RENDON</t>
  </si>
  <si>
    <t>199-ATM - LA LUZ QUITO</t>
  </si>
  <si>
    <t>(539-ATM - MINI PLUS GOMEZ RENDON)</t>
  </si>
  <si>
    <t>-0.144391, -78.481918</t>
  </si>
  <si>
    <t>477</t>
  </si>
  <si>
    <t>ATM - MODERNA PLAZA</t>
  </si>
  <si>
    <t>477-ATM - LISTO 9 DE OCTUBRE</t>
  </si>
  <si>
    <t>(521-ATM - MODERNA PLAZA)</t>
  </si>
  <si>
    <t>-2.1891975473343, -79.889251477088</t>
  </si>
  <si>
    <t>415</t>
  </si>
  <si>
    <t>ATM - MUCHO LOTE 2</t>
  </si>
  <si>
    <t>415-ATM - LOS CEIBOS FF AUTOCAJERO</t>
  </si>
  <si>
    <t>(499-ATM - MUCHO LOTE 2)</t>
  </si>
  <si>
    <t>-2.1800670462068, -79.944811350052</t>
  </si>
  <si>
    <t>408</t>
  </si>
  <si>
    <t>ATM - MUCHO LOTE ETAPA 7</t>
  </si>
  <si>
    <t>408-ATM - LOTERIA NACIONAL 9 DE OCTUB</t>
  </si>
  <si>
    <t>(409-ATM - MUCHO LOTE ETAPA 7)</t>
  </si>
  <si>
    <t>-2.190161, -79.886549</t>
  </si>
  <si>
    <t>480</t>
  </si>
  <si>
    <t>ATM - MULT AUTOB ENTRERIOS</t>
  </si>
  <si>
    <t>480-ATM - MALECON DE SALINAS</t>
  </si>
  <si>
    <t>(417-ATM - MULT AUTOB ENTRERIOS)</t>
  </si>
  <si>
    <t>-2.2049575175464, -80.973525440475</t>
  </si>
  <si>
    <t>301</t>
  </si>
  <si>
    <t>ATM - MULTIPLAZA AIRES DEL BATAN</t>
  </si>
  <si>
    <t>301-ATM - MANTA FLAVIO REYES Y CALLE</t>
  </si>
  <si>
    <t>(436-ATM - MULTIPLAZA AIRES DEL BATAN)</t>
  </si>
  <si>
    <t>-0.94494581786925, -80.73290525893</t>
  </si>
  <si>
    <t>216</t>
  </si>
  <si>
    <t>ATM - NATURISSIMO</t>
  </si>
  <si>
    <t>216-ATM - MAPASINGUE OESTE</t>
  </si>
  <si>
    <t>(160-ATM - NATURISSIMO)</t>
  </si>
  <si>
    <t>-2.157309, -79.930797</t>
  </si>
  <si>
    <t>533</t>
  </si>
  <si>
    <t>ATM - PAPELESA</t>
  </si>
  <si>
    <t>533-ATM - MERCADO ARTESANAL 2</t>
  </si>
  <si>
    <t>(368-ATM - PAPELESA)</t>
  </si>
  <si>
    <t>-0.207321, -78.49514</t>
  </si>
  <si>
    <t>295</t>
  </si>
  <si>
    <t>ATM - PASEO SHOPPING BABAHOYO</t>
  </si>
  <si>
    <t>295-ATM - MERCADO ARTESANAL, CALLE RE</t>
  </si>
  <si>
    <t>(392-ATM - PASEO SHOPPING BABAHOYO)</t>
  </si>
  <si>
    <t>-0.206939, -78.495166</t>
  </si>
  <si>
    <t>473</t>
  </si>
  <si>
    <t>ATM - PASEO SHOPPING DAULE</t>
  </si>
  <si>
    <t>473-ATM - MI COMISARIATO J.T.M.</t>
  </si>
  <si>
    <t>(446-ATM - PASEO SHOPPING DAULE)</t>
  </si>
  <si>
    <t>-2.145086745704, -79.912649527439</t>
  </si>
  <si>
    <t>538</t>
  </si>
  <si>
    <t>DAULE</t>
  </si>
  <si>
    <t>ATM - PASEO SHOPPING STO. DOMINGO</t>
  </si>
  <si>
    <t>538-ATM - MI COMISARIATO LA JOYA</t>
  </si>
  <si>
    <t>(391-ATM - PASEO SHOPPING STO. DOMINGO)</t>
  </si>
  <si>
    <t>-2.03485258523185, -79.9155356344261</t>
  </si>
  <si>
    <t>539</t>
  </si>
  <si>
    <t>ATM - PETROLEOS Y SERVICIOS</t>
  </si>
  <si>
    <t>539-ATM - MINI PLUS GOMEZ RENDON</t>
  </si>
  <si>
    <t>(498-ATM - PETROLEOS Y SERVICIOS)</t>
  </si>
  <si>
    <t>-2.19992703521746, -79.9026085148514</t>
  </si>
  <si>
    <t>521</t>
  </si>
  <si>
    <t>ATM - PHARMACY'S CLINICA KENNEDY</t>
  </si>
  <si>
    <t>521-ATM - MODERNA PLAZA</t>
  </si>
  <si>
    <t>(450-ATM - PHARMACY'S CLINICA KENNEDY)</t>
  </si>
  <si>
    <t>-2.1288782156838, -79.863641467832</t>
  </si>
  <si>
    <t>499</t>
  </si>
  <si>
    <t>ATM - PLANTA PICA</t>
  </si>
  <si>
    <t>499-ATM - MUCHO LOTE 2</t>
  </si>
  <si>
    <t>(549-ATM - PLANTA PICA)</t>
  </si>
  <si>
    <t>-2.06849, -79.895125</t>
  </si>
  <si>
    <t>409</t>
  </si>
  <si>
    <t>ATM - PLASTICOS ECUATORIANOS SA</t>
  </si>
  <si>
    <t>409-ATM - MUCHO LOTE ETAPA 7</t>
  </si>
  <si>
    <t>(507-ATM - PLASTICOS ECUATORIANOS SA)</t>
  </si>
  <si>
    <t>-2.0911584740818, -79.922668953373</t>
  </si>
  <si>
    <t>417</t>
  </si>
  <si>
    <t>ATM - PLAZA CASA LAGUNA</t>
  </si>
  <si>
    <t>417-ATM - MULT AUTOB ENTRERIOS</t>
  </si>
  <si>
    <t>(518-ATM - PLAZA CASA LAGUNA)</t>
  </si>
  <si>
    <t>436</t>
  </si>
  <si>
    <t>ATM - PLAZA COLONIA</t>
  </si>
  <si>
    <t>436-ATM - MULTIPLAZA AIRES DEL BATAN</t>
  </si>
  <si>
    <t>(325-ATM - PLAZA COLONIA)</t>
  </si>
  <si>
    <t>-2.0724623661049, -79.872272470621</t>
  </si>
  <si>
    <t>160</t>
  </si>
  <si>
    <t>ATM - PLAZA LAGOS - MULTI</t>
  </si>
  <si>
    <t>160-ATM - NATURISSIMO</t>
  </si>
  <si>
    <t>(278-ATM - PLAZA LAGOS - MULTI)</t>
  </si>
  <si>
    <t>-2.2052601382149, -80.95853400435</t>
  </si>
  <si>
    <t>368</t>
  </si>
  <si>
    <t>ATM - PLAZA OLÓN</t>
  </si>
  <si>
    <t>368-ATM - PAPELESA</t>
  </si>
  <si>
    <t>(547-ATM - PLAZA OLÓN)</t>
  </si>
  <si>
    <t>-2.10706878707602, -79.9408243128599</t>
  </si>
  <si>
    <t>392</t>
  </si>
  <si>
    <t>ATM - PLAZA PYCCA</t>
  </si>
  <si>
    <t>392-ATM - PASEO SHOPPING BABAHOYO</t>
  </si>
  <si>
    <t>(326-ATM - PLAZA PYCCA)</t>
  </si>
  <si>
    <t>-1.8131077554945, -79.545317172494</t>
  </si>
  <si>
    <t>446</t>
  </si>
  <si>
    <t>ATM - PLAZA RODOLFO BAQUERIZO MOR</t>
  </si>
  <si>
    <t>446-ATM - PASEO SHOPPING DAULE</t>
  </si>
  <si>
    <t>(87-ATM - PLAZA RODOLFO BAQUERIZO MOR)</t>
  </si>
  <si>
    <t>-1.854623614441, -79.975836109332</t>
  </si>
  <si>
    <t>391</t>
  </si>
  <si>
    <t>Bajo / SeguroBaja (Línea prioritaria)</t>
  </si>
  <si>
    <t>N4 Bajo</t>
  </si>
  <si>
    <t>ATM - PLAZA TIA BASTION POPULAR</t>
  </si>
  <si>
    <t>391-ATM - PASEO SHOPPING STO. DOMINGO</t>
  </si>
  <si>
    <t>(342-ATM - PLAZA TIA BASTION POPULAR)</t>
  </si>
  <si>
    <t>-0.24890120654703, -79.162049904249</t>
  </si>
  <si>
    <t>498</t>
  </si>
  <si>
    <t>ATM - PLAZA TIA LA JOYA (REINSTALADO)</t>
  </si>
  <si>
    <t>498-ATM - PETROLEOS Y SERVICIOS</t>
  </si>
  <si>
    <t>(379-ATM - PLAZA TIA LA JOYA (REINSTALADO))</t>
  </si>
  <si>
    <t>-1.2716069272376, -78.61188654668</t>
  </si>
  <si>
    <t>450</t>
  </si>
  <si>
    <t>ATM - PLAZA TOLEDO</t>
  </si>
  <si>
    <t>450-ATM - PHARMACY'S CLINICA KENNEDY</t>
  </si>
  <si>
    <t>(482-ATM - PLAZA TOLEDO)</t>
  </si>
  <si>
    <t>-2.17319, -79.89861</t>
  </si>
  <si>
    <t>549</t>
  </si>
  <si>
    <t>ATM - PORTETE Y LA 17</t>
  </si>
  <si>
    <t>549-ATM - PLANTA PICA</t>
  </si>
  <si>
    <t>(120-ATM - PORTETE Y LA 17)</t>
  </si>
  <si>
    <t>-2.12027909370317, -79.9335863470148</t>
  </si>
  <si>
    <t>507</t>
  </si>
  <si>
    <t>ATM - PORTON 9 DE OCTUBRE MALECON</t>
  </si>
  <si>
    <t>507-ATM - PLASTICOS ECUATORIANOS SA</t>
  </si>
  <si>
    <t>(419-ATM - PORTON 9 DE OCTUBRE MALECON)</t>
  </si>
  <si>
    <t>-2.1258792326852, -79.933447138901</t>
  </si>
  <si>
    <t>518</t>
  </si>
  <si>
    <t>ATM - PRIMAX 25 DE JULIO</t>
  </si>
  <si>
    <t>518-ATM - PLAZA CASA LAGUNA</t>
  </si>
  <si>
    <t>(47-ATM - PRIMAX 25 DE JULIO)</t>
  </si>
  <si>
    <t>-2.0339784447375, -79.887350462023</t>
  </si>
  <si>
    <t>325</t>
  </si>
  <si>
    <t>ATM - PRIMAX AMBATO, LOS SAUCES,</t>
  </si>
  <si>
    <t>325-ATM - PLAZA COLONIA</t>
  </si>
  <si>
    <t>(292-ATM - PRIMAX AMBATO, LOS SAUCES,)</t>
  </si>
  <si>
    <t>-2.183777, -79.98394</t>
  </si>
  <si>
    <t>278</t>
  </si>
  <si>
    <t>SAMBORONDON</t>
  </si>
  <si>
    <t>ATM - PRIMAX AMERICANA</t>
  </si>
  <si>
    <t>278-ATM - PLAZA LAGOS - MULTI</t>
  </si>
  <si>
    <t>(421-ATM - PRIMAX AMERICANA)</t>
  </si>
  <si>
    <t>-2.0990640514603, -79.875114552254</t>
  </si>
  <si>
    <t>547</t>
  </si>
  <si>
    <t>ATM - PRIMAX ATARAZANA</t>
  </si>
  <si>
    <t>547-ATM - PLAZA OLÓN</t>
  </si>
  <si>
    <t>(82-ATM - PRIMAX ATARAZANA)</t>
  </si>
  <si>
    <t>-1.79769336150926, -80.7565370348239</t>
  </si>
  <si>
    <t>326</t>
  </si>
  <si>
    <t>ATM - PRIMAX BATAN</t>
  </si>
  <si>
    <t>326-ATM - PLAZA PYCCA</t>
  </si>
  <si>
    <t>(522-ATM - PRIMAX BATAN)</t>
  </si>
  <si>
    <t>-2.1194514112252, -79.932722559525</t>
  </si>
  <si>
    <t>87</t>
  </si>
  <si>
    <t>ATM - PRIMAX COLON</t>
  </si>
  <si>
    <t>87-ATM - PLAZA RODOLFO BAQUERIZO MOR</t>
  </si>
  <si>
    <t>(73-ATM - PRIMAX COLON)</t>
  </si>
  <si>
    <t>-2.186303, -79.896037</t>
  </si>
  <si>
    <t>342</t>
  </si>
  <si>
    <t>ATM - PRIMAX CUMBAYA AV. INTEROCE</t>
  </si>
  <si>
    <t>342-ATM - PLAZA TIA BASTION POPULAR</t>
  </si>
  <si>
    <t>(280-ATM - PRIMAX CUMBAYA AV. INTEROCE)</t>
  </si>
  <si>
    <t>-2.098861, -79.935445</t>
  </si>
  <si>
    <t>379</t>
  </si>
  <si>
    <t>ATM - PRIMAX DURÁN</t>
  </si>
  <si>
    <t>379-ATM - PLAZA TIA LA JOYA (REINSTALADO)</t>
  </si>
  <si>
    <t>(403-ATM - PRIMAX DURÁN)</t>
  </si>
  <si>
    <t>-2.0280668336534, -79.912529347221</t>
  </si>
  <si>
    <t>482</t>
  </si>
  <si>
    <t>ATM - PRIMAX EL CONDADO</t>
  </si>
  <si>
    <t>482-ATM - PLAZA TOLEDO</t>
  </si>
  <si>
    <t>(424-ATM - PRIMAX EL CONDADO)</t>
  </si>
  <si>
    <t>-2.914926557806, -79.02276446202</t>
  </si>
  <si>
    <t>120</t>
  </si>
  <si>
    <t>ATM - PRIMAX ENTRE RIOS</t>
  </si>
  <si>
    <t>120-ATM - PORTETE Y LA 17</t>
  </si>
  <si>
    <t>(198-ATM - PRIMAX ENTRE RIOS)</t>
  </si>
  <si>
    <t>-2.2016875712695, -79.916651315123</t>
  </si>
  <si>
    <t>419</t>
  </si>
  <si>
    <t>ATM - PRIMAX FERRARI</t>
  </si>
  <si>
    <t>419-ATM - PORTON 9 DE OCTUBRE MALECON</t>
  </si>
  <si>
    <t>(487-ATM - PRIMAX FERRARI)</t>
  </si>
  <si>
    <t>-2.192464, -79.879536</t>
  </si>
  <si>
    <t>47</t>
  </si>
  <si>
    <t>ATM - PRIMAX GARZOTA</t>
  </si>
  <si>
    <t>47-ATM - PRIMAX 25 DE JULIO</t>
  </si>
  <si>
    <t>(200-ATM - PRIMAX GARZOTA)</t>
  </si>
  <si>
    <t>-2.22946, -79.897379</t>
  </si>
  <si>
    <t>292</t>
  </si>
  <si>
    <t>ATM - PRIMAX GUAJALO</t>
  </si>
  <si>
    <t>292-ATM - PRIMAX AMBATO, LOS SAUCES,</t>
  </si>
  <si>
    <t>(468-ATM - PRIMAX GUAJALO)</t>
  </si>
  <si>
    <t>-1.2567470211308, -78.641881817843</t>
  </si>
  <si>
    <t>421</t>
  </si>
  <si>
    <t>ATM - PRIMAX J.T.M AV. DEL SANTU</t>
  </si>
  <si>
    <t>421-ATM - PRIMAX AMERICANA</t>
  </si>
  <si>
    <t>(300-ATM - PRIMAX J.T.M AV. DEL SANTU)</t>
  </si>
  <si>
    <t>-2.1430297046844, -79.884464623348</t>
  </si>
  <si>
    <t>82</t>
  </si>
  <si>
    <t>ATM - PRIMAX KENNEDY NORTE</t>
  </si>
  <si>
    <t>82-ATM - PRIMAX ATARAZANA</t>
  </si>
  <si>
    <t>(81-ATM - PRIMAX KENNEDY NORTE)</t>
  </si>
  <si>
    <t>-2.17146, -79.890154</t>
  </si>
  <si>
    <t>522</t>
  </si>
  <si>
    <t>ATM - PRIMAX LA AURORA</t>
  </si>
  <si>
    <t>522-ATM - PRIMAX BATAN</t>
  </si>
  <si>
    <t>(457-ATM - PRIMAX LA AURORA)</t>
  </si>
  <si>
    <t>-2.0748000814385, -79.873377209486</t>
  </si>
  <si>
    <t>73</t>
  </si>
  <si>
    <t>ATM - PRIMAX LA BOTELLA PLAYAS</t>
  </si>
  <si>
    <t>73-ATM - PRIMAX COLON</t>
  </si>
  <si>
    <t>(514-ATM - PRIMAX LA BOTELLA PLAYAS)</t>
  </si>
  <si>
    <t>-0.19645649880623, -78.499465020832</t>
  </si>
  <si>
    <t>280</t>
  </si>
  <si>
    <t>ATM - PRIMAX MAGNA</t>
  </si>
  <si>
    <t>280-ATM - PRIMAX CUMBAYA AV. INTEROCE</t>
  </si>
  <si>
    <t>(528-ATM - PRIMAX MAGNA)</t>
  </si>
  <si>
    <t>-0.198046, -78.439151</t>
  </si>
  <si>
    <t>403</t>
  </si>
  <si>
    <t>ATM - PRIMAX MONTESERRIN</t>
  </si>
  <si>
    <t>403-ATM - PRIMAX DURÁN</t>
  </si>
  <si>
    <t>(490-ATM - PRIMAX MONTESERRIN)</t>
  </si>
  <si>
    <t>-2.1687090961262, -79.839177669975</t>
  </si>
  <si>
    <t>424</t>
  </si>
  <si>
    <t>ATM - PRIMAX PUERTO AZUL</t>
  </si>
  <si>
    <t>424-ATM - PRIMAX EL CONDADO</t>
  </si>
  <si>
    <t>(324-ATM - PRIMAX PUERTO AZUL)</t>
  </si>
  <si>
    <t>-0.105223, -78.500345</t>
  </si>
  <si>
    <t>198</t>
  </si>
  <si>
    <t>ATM - PRIMAX RUBBEN</t>
  </si>
  <si>
    <t>198-ATM - PRIMAX ENTRE RIOS</t>
  </si>
  <si>
    <t>(317-ATM - PRIMAX RUBBEN)</t>
  </si>
  <si>
    <t>-2.1435173279742, -79.864226203705</t>
  </si>
  <si>
    <t>487</t>
  </si>
  <si>
    <t>ATM - PRIMAX VISION 2000</t>
  </si>
  <si>
    <t>487-ATM - PRIMAX FERRARI</t>
  </si>
  <si>
    <t>(361-ATM - PRIMAX VISION 2000)</t>
  </si>
  <si>
    <t>-0.095497525231368, -78.488602004353</t>
  </si>
  <si>
    <t>200</t>
  </si>
  <si>
    <t>ATM - PRIMAX, AV. 25 DE JULIO Y 1</t>
  </si>
  <si>
    <t>200-ATM - PRIMAX GARZOTA</t>
  </si>
  <si>
    <t>(284-ATM - PRIMAX, AV. 25 DE JULIO Y 1)</t>
  </si>
  <si>
    <t>-2.1456054262986, -79.894860542328</t>
  </si>
  <si>
    <t>468</t>
  </si>
  <si>
    <t>ATM - PRIMAX, AV. JUAN TANCA MARE</t>
  </si>
  <si>
    <t>468-ATM - PRIMAX GUAJALO</t>
  </si>
  <si>
    <t>(277-ATM - PRIMAX, AV. JUAN TANCA MARE)</t>
  </si>
  <si>
    <t>-0.28617413958005, -78.537414868717</t>
  </si>
  <si>
    <t>300</t>
  </si>
  <si>
    <t>ATM - PRIMAX, PORTETE, AV. JOSE R</t>
  </si>
  <si>
    <t>300-ATM - PRIMAX J.T.M AV. DEL SANTU</t>
  </si>
  <si>
    <t>(283-ATM - PRIMAX, PORTETE, AV. JOSE R)</t>
  </si>
  <si>
    <t>-2.140356, -79.925519</t>
  </si>
  <si>
    <t>81</t>
  </si>
  <si>
    <t>ATM - PROMARISCO</t>
  </si>
  <si>
    <t>81-ATM - PRIMAX KENNEDY NORTE</t>
  </si>
  <si>
    <t>(316-ATM - PROMARISCO)</t>
  </si>
  <si>
    <t>-2.167722681587, -79.895933854002</t>
  </si>
  <si>
    <t>457</t>
  </si>
  <si>
    <t>ATM - PUNTO DE LA SUERTE 9 DE OCT</t>
  </si>
  <si>
    <t>457-ATM - PRIMAX LA AURORA</t>
  </si>
  <si>
    <t>(449-ATM - PUNTO DE LA SUERTE 9 DE OCT)</t>
  </si>
  <si>
    <t>-2.0513138633366, -79.901644373016</t>
  </si>
  <si>
    <t>514</t>
  </si>
  <si>
    <t>PLAYAS</t>
  </si>
  <si>
    <t>ATM - PYCCA 123 ESCOBEDO</t>
  </si>
  <si>
    <t>514-ATM - PRIMAX LA BOTELLA PLAYAS</t>
  </si>
  <si>
    <t>(90-ATM - PYCCA 123 ESCOBEDO)</t>
  </si>
  <si>
    <t>-2.5918387009263, -80.397510204492</t>
  </si>
  <si>
    <t>528</t>
  </si>
  <si>
    <t>ATM - QUITO CALDERON</t>
  </si>
  <si>
    <t>528-ATM - PRIMAX MAGNA</t>
  </si>
  <si>
    <t>(406-ATM - QUITO CALDERON)</t>
  </si>
  <si>
    <t>-2.0311202736593, -79.90213234435</t>
  </si>
  <si>
    <t>490</t>
  </si>
  <si>
    <t>ATM - RIOCENTRO 6 DE DICIEMBRE RECICLADOR</t>
  </si>
  <si>
    <t>490-ATM - PRIMAX MONTESERRIN</t>
  </si>
  <si>
    <t>(501-ATM - RIOCENTRO 6 DE DICIEMBRE RECICLADOR)</t>
  </si>
  <si>
    <t>-0.159998, -78.466534</t>
  </si>
  <si>
    <t>324</t>
  </si>
  <si>
    <t>ATM - SALAS DE VELACION</t>
  </si>
  <si>
    <t>324-ATM - PRIMAX PUERTO AZUL</t>
  </si>
  <si>
    <t>(371-ATM - SALAS DE VELACION)</t>
  </si>
  <si>
    <t>-2.183994, -79.97691</t>
  </si>
  <si>
    <t>317</t>
  </si>
  <si>
    <t>ATM - SAMBORONDON 2 PULL</t>
  </si>
  <si>
    <t>317-ATM - PRIMAX RUBBEN</t>
  </si>
  <si>
    <t>(314-ATM - SAMBORONDON 2 PULL)</t>
  </si>
  <si>
    <t>-0.15907670257508, -78.48330337896</t>
  </si>
  <si>
    <t>361</t>
  </si>
  <si>
    <t>ATM - SANGOLQUI 2</t>
  </si>
  <si>
    <t>361-ATM - PRIMAX VISION 2000</t>
  </si>
  <si>
    <t>(164-ATM - SANGOLQUI 2)</t>
  </si>
  <si>
    <t>-0.275437, -78.512265</t>
  </si>
  <si>
    <t>284</t>
  </si>
  <si>
    <t>ATM - SAUCES 2</t>
  </si>
  <si>
    <t>284-ATM - PRIMAX, AV. 25 DE JULIO Y 1</t>
  </si>
  <si>
    <t>(517-ATM - SAUCES 2)</t>
  </si>
  <si>
    <t>-2.2604146309986, -79.896301030306</t>
  </si>
  <si>
    <t>277</t>
  </si>
  <si>
    <t>ATM - SAUCES VI</t>
  </si>
  <si>
    <t>277-ATM - PRIMAX, AV. JUAN TANCA MARE</t>
  </si>
  <si>
    <t>(221-ATM - SAUCES VI)</t>
  </si>
  <si>
    <t>-2.1474749261809, -79.905767072422</t>
  </si>
  <si>
    <t>283</t>
  </si>
  <si>
    <t>ATM - STA. CRUZ GALAPAGOS</t>
  </si>
  <si>
    <t>283-ATM - PRIMAX, PORTETE, AV. JOSE R</t>
  </si>
  <si>
    <t>(153-ATM - STA. CRUZ GALAPAGOS)</t>
  </si>
  <si>
    <t>-2.1891895705623, -79.944021906746</t>
  </si>
  <si>
    <t>316</t>
  </si>
  <si>
    <t>ATM - SUPERCINES FCO DE ORELLANA</t>
  </si>
  <si>
    <t>316-ATM - PROMARISCO</t>
  </si>
  <si>
    <t>(515-ATM - SUPERCINES FCO DE ORELLANA)</t>
  </si>
  <si>
    <t>-2.2130281686453, -79.826093445214</t>
  </si>
  <si>
    <t>449</t>
  </si>
  <si>
    <t>ATM - SUPERMAXI VIA A LA COSTA</t>
  </si>
  <si>
    <t>449-ATM - PUNTO DE LA SUERTE 9 DE OCT</t>
  </si>
  <si>
    <t>(495-ATM - SUPERMAXI VIA A LA COSTA)</t>
  </si>
  <si>
    <t>-2.191494, -79.882836</t>
  </si>
  <si>
    <t>90</t>
  </si>
  <si>
    <t>ATM - SUPERMERCADO EL RANCHO</t>
  </si>
  <si>
    <t>90-ATM - PYCCA 123 ESCOBEDO</t>
  </si>
  <si>
    <t>(251-ATM - SUPERMERCADO EL RANCHO)</t>
  </si>
  <si>
    <t>-2.1849135625438, -79.881834699406</t>
  </si>
  <si>
    <t>406</t>
  </si>
  <si>
    <t>ATM - TER. TERREST. PORTOVIEJO</t>
  </si>
  <si>
    <t>406-ATM - QUITO CALDERON</t>
  </si>
  <si>
    <t>(336-ATM - TER. TERREST. PORTOVIEJO)</t>
  </si>
  <si>
    <t>-0.1031771523456, -78.424161818133</t>
  </si>
  <si>
    <t>501</t>
  </si>
  <si>
    <t>ATM - TERMINAL TERRESTRE MUNICIPAL COSTA</t>
  </si>
  <si>
    <t>501-ATM - RIOCENTRO 6 DE DICIEMBRE RECICLADOR</t>
  </si>
  <si>
    <t>(544-ATM - TERMINAL TERRESTRE MUNICIPAL COSTA)</t>
  </si>
  <si>
    <t>-0.16603923764519, -78.476094563879</t>
  </si>
  <si>
    <t>371</t>
  </si>
  <si>
    <t>ATM - TERPEL DURAN</t>
  </si>
  <si>
    <t>371-ATM - SALAS DE VELACION</t>
  </si>
  <si>
    <t>(529-ATM - TERPEL DURAN)</t>
  </si>
  <si>
    <t>-2.1822450451899, -79.88976236017</t>
  </si>
  <si>
    <t>314</t>
  </si>
  <si>
    <t>ATM - TIA ALAMOS</t>
  </si>
  <si>
    <t>314-ATM - SAMBORONDON 2 PULL</t>
  </si>
  <si>
    <t>(346-ATM - TIA ALAMOS)</t>
  </si>
  <si>
    <t>-2.1133265276055675, -79.87081606931311</t>
  </si>
  <si>
    <t>164</t>
  </si>
  <si>
    <t>ATM - TIA ALBORADA</t>
  </si>
  <si>
    <t>164-ATM - SANGOLQUI 2</t>
  </si>
  <si>
    <t>(141-ATM - TIA ALBORADA)</t>
  </si>
  <si>
    <t>-0.32772240690324, -78.450253377416</t>
  </si>
  <si>
    <t>517</t>
  </si>
  <si>
    <t>ATM - TIA AV. OLMEDO</t>
  </si>
  <si>
    <t>517-ATM - SAUCES 2</t>
  </si>
  <si>
    <t>(116-ATM - TIA AV. OLMEDO)</t>
  </si>
  <si>
    <t>-2.1382411328962, -79.891425520883</t>
  </si>
  <si>
    <t>221</t>
  </si>
  <si>
    <t>ATM - TIA CONOCOTO</t>
  </si>
  <si>
    <t>221-ATM - SAUCES VI</t>
  </si>
  <si>
    <t>(238-ATM - TIA CONOCOTO)</t>
  </si>
  <si>
    <t>-2.1259835368274, -79.897769377367</t>
  </si>
  <si>
    <t>153</t>
  </si>
  <si>
    <t>José Chiliguana</t>
  </si>
  <si>
    <t>GALÁPAGOS</t>
  </si>
  <si>
    <t>Crítico (Se inunda punto de atención)Baja (Línea prioritaria)</t>
  </si>
  <si>
    <t>ATM - TIA COTOCOLLAO</t>
  </si>
  <si>
    <t>153-ATM - STA. CRUZ GALAPAGOS</t>
  </si>
  <si>
    <t>(460-ATM - TIA COTOCOLLAO)</t>
  </si>
  <si>
    <t>-0.74773832152368, -90.313735658583</t>
  </si>
  <si>
    <t>515</t>
  </si>
  <si>
    <t>ATM - TIA DURAN</t>
  </si>
  <si>
    <t>515-ATM - SUPERCINES FCO DE ORELLANA</t>
  </si>
  <si>
    <t>(189-ATM - TIA DURAN)</t>
  </si>
  <si>
    <t>-2.1690429640077, -79.896997210409</t>
  </si>
  <si>
    <t>495</t>
  </si>
  <si>
    <t>ATM - TIA DURAN III</t>
  </si>
  <si>
    <t>495-ATM - SUPERMAXI VIA A LA COSTA</t>
  </si>
  <si>
    <t>(332-ATM - TIA DURAN III)</t>
  </si>
  <si>
    <t>-2.1821769815315, -79.985473965607</t>
  </si>
  <si>
    <t>251</t>
  </si>
  <si>
    <t>ATM - TIA ESCLUSAS</t>
  </si>
  <si>
    <t>251-ATM - SUPERMERCADO EL RANCHO</t>
  </si>
  <si>
    <t>(389-ATM - TIA ESCLUSAS)</t>
  </si>
  <si>
    <t>-2.195628, -79.89641</t>
  </si>
  <si>
    <t>336</t>
  </si>
  <si>
    <t>ATM - TIA ESMERALDAS, AV. JAIME H</t>
  </si>
  <si>
    <t>336-ATM - TER. TERREST. PORTOVIEJO</t>
  </si>
  <si>
    <t>(293-ATM - TIA ESMERALDAS, AV. JAIME H)</t>
  </si>
  <si>
    <t>-1.061762367033, -80.458987089008</t>
  </si>
  <si>
    <t>544</t>
  </si>
  <si>
    <t>ATM - TIA FLOR DE BASTION</t>
  </si>
  <si>
    <t>544-ATM - TERMINAL TERRESTRE MUNICIPAL COSTA</t>
  </si>
  <si>
    <t>(245-ATM - TIA FLOR DE BASTION)</t>
  </si>
  <si>
    <t>-2.18238975072341, -79.9489053000797</t>
  </si>
  <si>
    <t>529</t>
  </si>
  <si>
    <t>ATM - TIA LA AURORA</t>
  </si>
  <si>
    <t>529-ATM - TERPEL DURAN</t>
  </si>
  <si>
    <t>(370-ATM - TIA LA AURORA)</t>
  </si>
  <si>
    <t>-2.175519996708783, -79.83084726112874</t>
  </si>
  <si>
    <t>346</t>
  </si>
  <si>
    <t>ATM - TIA LA FLORESTA</t>
  </si>
  <si>
    <t>346-ATM - TIA ALAMOS</t>
  </si>
  <si>
    <t>(185-ATM - TIA LA FLORESTA)</t>
  </si>
  <si>
    <t>-2.132188, -79.908046</t>
  </si>
  <si>
    <t>141</t>
  </si>
  <si>
    <t>ATM - TIA LA MANA</t>
  </si>
  <si>
    <t>141-ATM - TIA ALBORADA</t>
  </si>
  <si>
    <t>(411-ATM - TIA LA MANA)</t>
  </si>
  <si>
    <t>-2.13962, -79.89843</t>
  </si>
  <si>
    <t>116</t>
  </si>
  <si>
    <t>ATM - TIA LLANO GRANDE</t>
  </si>
  <si>
    <t>116-ATM - TIA AV. OLMEDO</t>
  </si>
  <si>
    <t>(509-ATM - TIA LLANO GRANDE)</t>
  </si>
  <si>
    <t>-2.198379622975, -79.884574652712</t>
  </si>
  <si>
    <t>238</t>
  </si>
  <si>
    <t>ATM - TIA LOS ESTEROS</t>
  </si>
  <si>
    <t>238-ATM - TIA CONOCOTO</t>
  </si>
  <si>
    <t>(146-ATM - TIA LOS ESTEROS)</t>
  </si>
  <si>
    <t>-0.29363, -78.478886</t>
  </si>
  <si>
    <t>460</t>
  </si>
  <si>
    <t>ATM - TIA MAPASINGUE</t>
  </si>
  <si>
    <t>460-ATM - TIA COTOCOLLAO</t>
  </si>
  <si>
    <t>(143-ATM - TIA MAPASINGUE)</t>
  </si>
  <si>
    <t>-0.11434223715214, -78.495563631336</t>
  </si>
  <si>
    <t>189</t>
  </si>
  <si>
    <t>ATM - TIA MERCADO CENTRAL</t>
  </si>
  <si>
    <t>189-ATM - TIA DURAN</t>
  </si>
  <si>
    <t>(188-ATM - TIA MERCADO CENTRAL)</t>
  </si>
  <si>
    <t>-2.1704007384558, -79.852365835039</t>
  </si>
  <si>
    <t>332</t>
  </si>
  <si>
    <t>ATM - TIA MONTAÑITA</t>
  </si>
  <si>
    <t>332-ATM - TIA DURAN III</t>
  </si>
  <si>
    <t>(541-ATM - TIA MONTAÑITA)</t>
  </si>
  <si>
    <t>-2.1649928954332, -79.844669602516</t>
  </si>
  <si>
    <t>389</t>
  </si>
  <si>
    <t>ATM - TIA MONTECRISTI</t>
  </si>
  <si>
    <t>389-ATM - TIA ESCLUSAS</t>
  </si>
  <si>
    <t>(400-ATM - TIA MONTECRISTI)</t>
  </si>
  <si>
    <t>-2.261008, -79.878241</t>
  </si>
  <si>
    <t>293</t>
  </si>
  <si>
    <t>ESMERALDAS</t>
  </si>
  <si>
    <t>ATM - TIA MUCHO LOTE AV. ISIDRO A</t>
  </si>
  <si>
    <t>293-ATM - TIA ESMERALDAS, AV. JAIME H</t>
  </si>
  <si>
    <t>(302-ATM - TIA MUCHO LOTE AV. ISIDRO A)</t>
  </si>
  <si>
    <t>0.9325269542761, -79.672041012951</t>
  </si>
  <si>
    <t>245</t>
  </si>
  <si>
    <t>ATM - TIA PASCUALES</t>
  </si>
  <si>
    <t>245-ATM - TIA FLOR DE BASTION</t>
  </si>
  <si>
    <t>(158-ATM - TIA PASCUALES)</t>
  </si>
  <si>
    <t>-2.1046187259956, -79.954315185534</t>
  </si>
  <si>
    <t>370</t>
  </si>
  <si>
    <t>ATM - TIA PORTETE Y LA 38</t>
  </si>
  <si>
    <t>370-ATM - TIA LA AURORA</t>
  </si>
  <si>
    <t>(274-ATM - TIA PORTETE Y LA 38)</t>
  </si>
  <si>
    <t>-2.0525768048808, -79.880695271164</t>
  </si>
  <si>
    <t>185</t>
  </si>
  <si>
    <t>ATM - TIA POSORJA</t>
  </si>
  <si>
    <t>185-ATM - TIA LA FLORESTA</t>
  </si>
  <si>
    <t>(393-ATM - TIA POSORJA)</t>
  </si>
  <si>
    <t>-2.2512463482489, -79.884848395894</t>
  </si>
  <si>
    <t>411</t>
  </si>
  <si>
    <t>ATM - TIA SANGOLQUI</t>
  </si>
  <si>
    <t>411-ATM - TIA LA MANA</t>
  </si>
  <si>
    <t>(524-ATM - TIA SANGOLQUI)</t>
  </si>
  <si>
    <t>-0.941448, -79.227945</t>
  </si>
  <si>
    <t>509</t>
  </si>
  <si>
    <t>ATM - TIA SANTA ELENA</t>
  </si>
  <si>
    <t>509-ATM - TIA LLANO GRANDE</t>
  </si>
  <si>
    <t>(123-ATM - TIA SANTA ELENA)</t>
  </si>
  <si>
    <t>-0.10931871172645, -78.445085546681</t>
  </si>
  <si>
    <t>146</t>
  </si>
  <si>
    <t>ATM - TIA SOLANDA</t>
  </si>
  <si>
    <t>146-ATM - TIA LOS ESTEROS</t>
  </si>
  <si>
    <t>(92-ATM - TIA SOLANDA)</t>
  </si>
  <si>
    <t>-2.2509105545268, -79.899715862022</t>
  </si>
  <si>
    <t>143</t>
  </si>
  <si>
    <t>ATM - TIA TOACAZO</t>
  </si>
  <si>
    <t>143-ATM - TIA MAPASINGUE</t>
  </si>
  <si>
    <t>(253-ATM - TIA TOACAZO)</t>
  </si>
  <si>
    <t>-2.157744, -79.919684</t>
  </si>
  <si>
    <t>188</t>
  </si>
  <si>
    <t>ATM - TIA VERGELES</t>
  </si>
  <si>
    <t>188-ATM - TIA MERCADO CENTRAL</t>
  </si>
  <si>
    <t>(218-ATM - TIA VERGELES)</t>
  </si>
  <si>
    <t>-2.1950347616865, -79.887821864912</t>
  </si>
  <si>
    <t>541</t>
  </si>
  <si>
    <t>MONTAÑITA</t>
  </si>
  <si>
    <t>ATM - TUTI BAÑOS</t>
  </si>
  <si>
    <t>541-ATM - TIA MONTAÑITA</t>
  </si>
  <si>
    <t>(530-ATM - TUTI BAÑOS)</t>
  </si>
  <si>
    <t>-1.82300117471576, -80.7533523213827</t>
  </si>
  <si>
    <t>400</t>
  </si>
  <si>
    <t>ATM - TUTI CHONGON</t>
  </si>
  <si>
    <t>400-ATM - TIA MONTECRISTI</t>
  </si>
  <si>
    <t>(537-ATM - TUTI CHONGON)</t>
  </si>
  <si>
    <t>-1.04570480809368, -80.6584036744766</t>
  </si>
  <si>
    <t>302</t>
  </si>
  <si>
    <t>ATM - TUTI COLON Y LORENZO DE GARAICOA</t>
  </si>
  <si>
    <t>302-ATM - TIA MUCHO LOTE AV. ISIDRO A</t>
  </si>
  <si>
    <t>(540-ATM - TUTI COLON Y LORENZO DE GARAICOA)</t>
  </si>
  <si>
    <t>-2.0847648662886, -79.920308066305</t>
  </si>
  <si>
    <t>158</t>
  </si>
  <si>
    <t>ATM - TUTI DURANEL RECREO 1° ETAPA</t>
  </si>
  <si>
    <t>158-ATM - TIA PASCUALES</t>
  </si>
  <si>
    <t>(543-ATM - TUTI DURANEL RECREO 1° ETAPA)</t>
  </si>
  <si>
    <t>-2.0684263198515, -79.933219747781</t>
  </si>
  <si>
    <t>274</t>
  </si>
  <si>
    <t>ATM - TUTI FICOA</t>
  </si>
  <si>
    <t>274-ATM - TIA PORTETE Y LA 38</t>
  </si>
  <si>
    <t>(527-ATM - TUTI FICOA)</t>
  </si>
  <si>
    <t>-2.197795, -79.933033</t>
  </si>
  <si>
    <t>393</t>
  </si>
  <si>
    <t>ATM - TUTI MITAD DEL MUND</t>
  </si>
  <si>
    <t>393-ATM - TIA POSORJA</t>
  </si>
  <si>
    <t>(526-ATM - TUTI MITAD DEL MUND)</t>
  </si>
  <si>
    <t>-2.7103348371123, -80.245090980966</t>
  </si>
  <si>
    <t>524</t>
  </si>
  <si>
    <t>ATM - TUTI PRIMERO DE MAYO</t>
  </si>
  <si>
    <t>524-ATM - TIA SANGOLQUI</t>
  </si>
  <si>
    <t>(523-ATM - TUTI PRIMERO DE MAYO)</t>
  </si>
  <si>
    <t>-0.34606900953299474, -78.43734983884927</t>
  </si>
  <si>
    <t>123</t>
  </si>
  <si>
    <t>ATM - UEES</t>
  </si>
  <si>
    <t>123-ATM - TIA SANTA ELENA</t>
  </si>
  <si>
    <t>(445-ATM - UEES)</t>
  </si>
  <si>
    <t>-2.2264001623105, -80.858451644245</t>
  </si>
  <si>
    <t>92</t>
  </si>
  <si>
    <t>ATM - UNICENTRO SHOPPING</t>
  </si>
  <si>
    <t>92-ATM - TIA SOLANDA</t>
  </si>
  <si>
    <t>(551-ATM - UNICENTRO SHOPPING)</t>
  </si>
  <si>
    <t>-0.26793510547876, -78.538132240406</t>
  </si>
  <si>
    <t>253</t>
  </si>
  <si>
    <t>ATM - UNIV. SAN FRANCISCO DE QUIT</t>
  </si>
  <si>
    <t>253-ATM - TIA TOACAZO</t>
  </si>
  <si>
    <t>(104-ATM - UNIV. SAN FRANCISCO DE QUIT)</t>
  </si>
  <si>
    <t>-0.261019, -78.545967</t>
  </si>
  <si>
    <t>218</t>
  </si>
  <si>
    <t>ATM - UNV. CATOLICA DE CUENCA</t>
  </si>
  <si>
    <t>218-ATM - TIA VERGELES</t>
  </si>
  <si>
    <t>(439-ATM - UNV. CATOLICA DE CUENCA)</t>
  </si>
  <si>
    <t>-2.091918219583, -79.903310958893</t>
  </si>
  <si>
    <t>530</t>
  </si>
  <si>
    <t>BAÑOS DE AGUA SANTA</t>
  </si>
  <si>
    <t>ATM - VILLAGE PLAZA</t>
  </si>
  <si>
    <t>530-ATM - TUTI BAÑOS</t>
  </si>
  <si>
    <t>(461-ATM - VILLAGE PLAZA)</t>
  </si>
  <si>
    <t>-1.3954293085607, -78.423825275802</t>
  </si>
  <si>
    <t>537</t>
  </si>
  <si>
    <t>CHONGON</t>
  </si>
  <si>
    <t>537-ATM - TUTI CHONGON</t>
  </si>
  <si>
    <t>(172-ATM - OF. AZOGUES) +  (A0075-AZOGUES)</t>
  </si>
  <si>
    <t>-2.234701, -80.079534</t>
  </si>
  <si>
    <t>540</t>
  </si>
  <si>
    <t>540-ATM - TUTI COLON Y LORENZO DE GARAICOA</t>
  </si>
  <si>
    <t>(77-ATM - OF. BABAHOYO) +  (A0004-BABAHOYO)</t>
  </si>
  <si>
    <t>-2.195605, -79.887726</t>
  </si>
  <si>
    <t>543</t>
  </si>
  <si>
    <t>BUENA FE</t>
  </si>
  <si>
    <t>543-ATM - TUTI DURANEL RECREO 1° ETAPA</t>
  </si>
  <si>
    <t>(42-ATM - OF. BUENA FE) +  (A0005-BUENA FE)</t>
  </si>
  <si>
    <t>-2.180908, -79.814326</t>
  </si>
  <si>
    <t>527</t>
  </si>
  <si>
    <t>CATOLICA</t>
  </si>
  <si>
    <t>527-ATM - TUTI FICOA</t>
  </si>
  <si>
    <t>(55-ATM - UNIV. CATÓLICA DE GYE) +  (A0105-CATOLICA)</t>
  </si>
  <si>
    <t>-1.2372873000002194, -78.63297151534546</t>
  </si>
  <si>
    <t>526</t>
  </si>
  <si>
    <t>CC PASEO SAN FRANCISCO</t>
  </si>
  <si>
    <t>526-ATM - TUTI MITAD DEL MUND</t>
  </si>
  <si>
    <t>(339-ATM - CC SAN FRANCISCO II) +  (A0087-CC PASEO SAN FRANCISCO)</t>
  </si>
  <si>
    <t>-0.008035317179819814, -78.44762497884675</t>
  </si>
  <si>
    <t>523</t>
  </si>
  <si>
    <t>CC SAN EDUARDO SHOPPING</t>
  </si>
  <si>
    <t>523-ATM - TUTI PRIMERO DE MAYO</t>
  </si>
  <si>
    <t>(333-ATM - C.C. SAN EDUARDO SHOPPING) +  (A0030-CC SAN EDUARDO SHOPPING)</t>
  </si>
  <si>
    <t>-1.0422553136955, -80.468918452919</t>
  </si>
  <si>
    <t>445</t>
  </si>
  <si>
    <t>CENTENARIO</t>
  </si>
  <si>
    <t>445-ATM - UEES</t>
  </si>
  <si>
    <t>(9-ATM - OF. CENTENARIO) +  (219-ATM - OF. CENTENARIO 2) +  (A0006-CENTENARIO)</t>
  </si>
  <si>
    <t>-2.1331494933718, -79.865817704824</t>
  </si>
  <si>
    <t>551</t>
  </si>
  <si>
    <t>CENTRO DE ATENCION</t>
  </si>
  <si>
    <t>551-ATM - UNICENTRO SHOPPING</t>
  </si>
  <si>
    <t>(44-ATM - OF. MATRIZ ANEXO 1) +  (45-ATM - OF. MATRIZ ANEXO 2) +  (214-ATM - OF. MATRIZ ANEXO 3) +  (215-ATM - OF. MATRIZ ANEXO 4) +  (505-ATM - OF. MATRIZ ANEXO 5) +  (506-ATM - OF. MATRIZ ANEXO 6) +  (A0051-CENTRO DE ATENCION)</t>
  </si>
  <si>
    <t>-2.193576260329084, -79.88287342393875</t>
  </si>
  <si>
    <t>104</t>
  </si>
  <si>
    <t>CENTRO EMPRESARIAL COLON</t>
  </si>
  <si>
    <t>104-ATM - UNIV. SAN FRANCISCO DE QUIT</t>
  </si>
  <si>
    <t>(351-ATM - CENTRO EMPRESARIAL COLON) +  (A0052-CENTRO EMPRESARIAL COLON)</t>
  </si>
  <si>
    <t>-0.196763, -78.435913</t>
  </si>
  <si>
    <t>439</t>
  </si>
  <si>
    <t>CONDADO SHOPPING</t>
  </si>
  <si>
    <t>439-ATM - UNV. CATOLICA DE CUENCA</t>
  </si>
  <si>
    <t>(520-ATM - CONDADO SHOPPING REC) +  (A0078-CONDADO SHOPPING)</t>
  </si>
  <si>
    <t>-2.8847833115177, -79.005802007271</t>
  </si>
  <si>
    <t>461</t>
  </si>
  <si>
    <t>461-ATM - VILLAGE PLAZA</t>
  </si>
  <si>
    <t>(43-ATM - OF. SUC. CUENCA) +  (A0088-CUENCA)</t>
  </si>
  <si>
    <t>-2.140432, -79.864389</t>
  </si>
  <si>
    <t>172</t>
  </si>
  <si>
    <t>ATM - OF. AZOGUES</t>
  </si>
  <si>
    <t>AZOGUES</t>
  </si>
  <si>
    <t>CUENCA CENTRO</t>
  </si>
  <si>
    <t>172-ATM - OF. AZOGUES</t>
  </si>
  <si>
    <t>(10-ATM - OF. CENTRO HISTORICO DE CUE) +  (A0077-CUENCA CENTRO)</t>
  </si>
  <si>
    <t>-2.7378502881398, -78.846438442577</t>
  </si>
  <si>
    <t>A0075</t>
  </si>
  <si>
    <t>DIPOR AMAGUAÑA</t>
  </si>
  <si>
    <t>A0075-AZOGUES</t>
  </si>
  <si>
    <t>(A0097-DIPOR AMAGUAÑA)</t>
  </si>
  <si>
    <t>77</t>
  </si>
  <si>
    <t>ATM - OF. BABAHOYO</t>
  </si>
  <si>
    <t>BABAHOYO</t>
  </si>
  <si>
    <t>DOMINGO COMIN</t>
  </si>
  <si>
    <t>77-ATM - OF. BABAHOYO</t>
  </si>
  <si>
    <t>(33-ATM - OF. DOMINGO COMIN) +  (A0053-DOMINGO COMIN)</t>
  </si>
  <si>
    <t>-1.8004036332543, -79.535966546678</t>
  </si>
  <si>
    <t>A0004</t>
  </si>
  <si>
    <t>EL CARMEN</t>
  </si>
  <si>
    <t>A0004-BABAHOYO</t>
  </si>
  <si>
    <t>(105-ATM - OF. EL CARMEN) +  (385-ATM - OF. EL CARMEN 2) +  (A0007-EL CARMEN)</t>
  </si>
  <si>
    <t>42</t>
  </si>
  <si>
    <t>ATM - OF. BUENA FE</t>
  </si>
  <si>
    <t>BUENA FE</t>
  </si>
  <si>
    <t>EL DORADO</t>
  </si>
  <si>
    <t>42-ATM - OF. BUENA FE</t>
  </si>
  <si>
    <t>(426-ATM - C.C. EL DORADO OF.) +  (A0008-EL DORADO)</t>
  </si>
  <si>
    <t>-0.89612508624406, -79.490255462025</t>
  </si>
  <si>
    <t>A0005</t>
  </si>
  <si>
    <t>EL EMPALME</t>
  </si>
  <si>
    <t>A0005-BUENA FE</t>
  </si>
  <si>
    <t>(40-ATM - OF. EL EMPALME) +  (356-ATM - OF EL EMPALME 2) +  (A0009-EL EMPALME)</t>
  </si>
  <si>
    <t>55</t>
  </si>
  <si>
    <t>ATM - UNIV. CATÓLICA DE GYE</t>
  </si>
  <si>
    <t>HIPERMARKET NORTE</t>
  </si>
  <si>
    <t>55-ATM - UNIV. CATÓLICA DE GYE</t>
  </si>
  <si>
    <t>(96-ATM - HYPERMARKET NORTE GYE. OF.) +  (A0055-HIPERMARKET NORTE)</t>
  </si>
  <si>
    <t>-2.182177307418713, -79.90253473254785</t>
  </si>
  <si>
    <t>A0105</t>
  </si>
  <si>
    <t>HIPERMARKET QUEVEDO</t>
  </si>
  <si>
    <t>A0105-CATOLICA</t>
  </si>
  <si>
    <t>(296-ATM - C.C. PASEO SHOPPING QUEVEDO) +  (A0056-HIPERMARKET QUEVEDO)</t>
  </si>
  <si>
    <t>339</t>
  </si>
  <si>
    <t>ATM - CC SAN FRANCISCO II</t>
  </si>
  <si>
    <t>CC PASEO SAN FRANCISCO</t>
  </si>
  <si>
    <t>HIPERMARKET VERGELES</t>
  </si>
  <si>
    <t>339-ATM - CC SAN FRANCISCO II</t>
  </si>
  <si>
    <t>(322-ATM - HYPERMARKET LOS VERGELES) +  (A0054-HIPERMARKET VERGELES)</t>
  </si>
  <si>
    <t>-0.198908, -78.436092</t>
  </si>
  <si>
    <t>A0087</t>
  </si>
  <si>
    <t>HOSPITAL ALFREDO G. PAULSON</t>
  </si>
  <si>
    <t>A0087-CC PASEO SAN FRANCISCO</t>
  </si>
  <si>
    <t>(413-ATM - MATERNIDAD A. PAULSON) +  (A0044-HOSPITAL ALFREDO G. PAULSON)</t>
  </si>
  <si>
    <t>333</t>
  </si>
  <si>
    <t>ATM - C.C. SAN EDUARDO SHOPPING</t>
  </si>
  <si>
    <t>CC SAN EDUARDO SHOPPING</t>
  </si>
  <si>
    <t>HOSPITAL ROBERTO GILBERT</t>
  </si>
  <si>
    <t>333-ATM - C.C. SAN EDUARDO SHOPPING</t>
  </si>
  <si>
    <t>(22-ATM - HOSP. ROBERTO GILBERT OF) +  (A0058-HOSPITAL ROBERTO GILBERT)</t>
  </si>
  <si>
    <t>-2.19020536674, -79.94269474107</t>
  </si>
  <si>
    <t>A0030</t>
  </si>
  <si>
    <t>LA CONCORDIA</t>
  </si>
  <si>
    <t>A0030-CC SAN EDUARDO SHOPPING</t>
  </si>
  <si>
    <t>(154-ATM - OF. LA CONCORDIA) +  (A0010-LA CONCORDIA)</t>
  </si>
  <si>
    <t>9</t>
  </si>
  <si>
    <t>ATM - OF. CENTENARIO</t>
  </si>
  <si>
    <t>CENTENARIO</t>
  </si>
  <si>
    <t>LA LIBERTAD</t>
  </si>
  <si>
    <t>9-ATM - OF. CENTENARIO</t>
  </si>
  <si>
    <t>(54-ATM - OF. LIBERTAD) +  (369-ATM - OF. LIBERTAD 2) +  (A0011-LA LIBERTAD)</t>
  </si>
  <si>
    <t>-2.2151156802047, -79.889049472387</t>
  </si>
  <si>
    <t>219</t>
  </si>
  <si>
    <t>ATM - OF. CENTENARIO 2</t>
  </si>
  <si>
    <t>LA TRONCAL</t>
  </si>
  <si>
    <t>219-ATM - OF. CENTENARIO 2</t>
  </si>
  <si>
    <t>(60-ATM - OF. LA TRONCAL) +  (387-ATM - OF. LA TRONCAL 2) +  (A0012-LA TRONCAL)</t>
  </si>
  <si>
    <t>A0006</t>
  </si>
  <si>
    <t>LAS MONJAS</t>
  </si>
  <si>
    <t>A0006-CENTENARIO</t>
  </si>
  <si>
    <t>(97-ATM - OF. LAS MONJAS) +  (A0013-LAS MONJAS)</t>
  </si>
  <si>
    <t>44</t>
  </si>
  <si>
    <t>ATM - OF. MATRIZ ANEXO 1</t>
  </si>
  <si>
    <t>MATRIZ</t>
  </si>
  <si>
    <t>LOJA</t>
  </si>
  <si>
    <t>44-ATM - OF. MATRIZ ANEXO 1</t>
  </si>
  <si>
    <t>(62-ATM - OF. LOJA) +  (A0079-LOJA)</t>
  </si>
  <si>
    <t>-2.1901574203831116, -79.87989160148149</t>
  </si>
  <si>
    <t>45</t>
  </si>
  <si>
    <t>ATM - OF. MATRIZ ANEXO 2</t>
  </si>
  <si>
    <t>LOS CEIBOS</t>
  </si>
  <si>
    <t>45-ATM - OF. MATRIZ ANEXO 2</t>
  </si>
  <si>
    <t>(414-ATM - LOS CEIBOS OF.) +  (A0014-LOS CEIBOS)</t>
  </si>
  <si>
    <t>214</t>
  </si>
  <si>
    <t>ATM - OF. MATRIZ ANEXO 3</t>
  </si>
  <si>
    <t>LOTERIA MANTA</t>
  </si>
  <si>
    <t>214-ATM - OF. MATRIZ ANEXO 3</t>
  </si>
  <si>
    <t>(A0042-LOTERIA MANTA)</t>
  </si>
  <si>
    <t>215</t>
  </si>
  <si>
    <t>ATM - OF. MATRIZ ANEXO 4</t>
  </si>
  <si>
    <t>LOTERIA NACIONAL - 9 OCTUBRE</t>
  </si>
  <si>
    <t>215-ATM - OF. MATRIZ ANEXO 4</t>
  </si>
  <si>
    <t>(A0101-LOTERIA NACIONAL - 9 OCTUBRE)</t>
  </si>
  <si>
    <t>505</t>
  </si>
  <si>
    <t>ATM - OF. MATRIZ ANEXO 5</t>
  </si>
  <si>
    <t>LOTERIA NACIONAL MATRIZ</t>
  </si>
  <si>
    <t>505-ATM - OF. MATRIZ ANEXO 5</t>
  </si>
  <si>
    <t>(A0041-LOTERIA NACIONAL MATRIZ)</t>
  </si>
  <si>
    <t>506</t>
  </si>
  <si>
    <t>ATM - OF. MATRIZ ANEXO 6</t>
  </si>
  <si>
    <t>LOTERIA PLAZA DE LA SUERTE - GANADORES</t>
  </si>
  <si>
    <t>506-ATM - OF. MATRIZ ANEXO 6</t>
  </si>
  <si>
    <t>(A0043-LOTERIA PLAZA DE LA SUERTE - GANADORES)</t>
  </si>
  <si>
    <t>A0051</t>
  </si>
  <si>
    <t>A0051-CENTRO DE ATENCION</t>
  </si>
  <si>
    <t>(447-ATM - AG. MACHALA) +  (A0016-MACHALA)</t>
  </si>
  <si>
    <t>351</t>
  </si>
  <si>
    <t>ATM - CENTRO EMPRESARIAL COLON</t>
  </si>
  <si>
    <t>CENTRO EMPRESARIAL COLON</t>
  </si>
  <si>
    <t>MACHALA CENTRO</t>
  </si>
  <si>
    <t>351-ATM - CENTRO EMPRESARIAL COLON</t>
  </si>
  <si>
    <t>(7-ATM - OF. MACHALA) +  (476-ATM - OF. MACHALA 2) +  (A0015-MACHALA CENTRO)</t>
  </si>
  <si>
    <t>-2.1502941296651, -79.906397733186</t>
  </si>
  <si>
    <t>A0052</t>
  </si>
  <si>
    <t>MALL DEL SOL</t>
  </si>
  <si>
    <t>A0052-CENTRO EMPRESARIAL COLON</t>
  </si>
  <si>
    <t>(329-ATM - CC MALL DEL SOL 1 OF) +  (330-ATM - CC MALL DEL SOL 2 OF) +  (A0017-MALL DEL SOL)</t>
  </si>
  <si>
    <t>520</t>
  </si>
  <si>
    <t>ATM - CONDADO SHOPPING REC</t>
  </si>
  <si>
    <t>MALL DEL SUR</t>
  </si>
  <si>
    <t>520-ATM - CONDADO SHOPPING REC</t>
  </si>
  <si>
    <t>(93-ATM - C.C. MALL DEL SUR 1 OF.) +  (140-ATM - C.C. MALL DEL SUR 2 OF.) +  (375-ATM - CC MALL DEL SUR 3) +  (A0018-MALL DEL SUR)</t>
  </si>
  <si>
    <t>-0.10385863876508, -78.490326716394</t>
  </si>
  <si>
    <t>A0078</t>
  </si>
  <si>
    <t>MALL EL FORTIN</t>
  </si>
  <si>
    <t>A0078-CONDADO SHOPPING</t>
  </si>
  <si>
    <t>(383-ATM - MALL EL FORTIN 1) +  (432-ATM - MALL EL FORTIN 3 FF) +  (A0059-MALL EL FORTIN)</t>
  </si>
  <si>
    <t>43</t>
  </si>
  <si>
    <t>ATM - OF. SUC. CUENCA</t>
  </si>
  <si>
    <t>CUENCA</t>
  </si>
  <si>
    <t>43-ATM - OF. SUC. CUENCA</t>
  </si>
  <si>
    <t>(28-ATM - OF. MANTA) +  (A0019-MANTA)</t>
  </si>
  <si>
    <t>-2.905424, -79.003303</t>
  </si>
  <si>
    <t>A0088</t>
  </si>
  <si>
    <t>SUCURSAL</t>
  </si>
  <si>
    <t>MARCELINO MARIDUEÑA</t>
  </si>
  <si>
    <t>A0088-CUENCA</t>
  </si>
  <si>
    <t>(67-ATM - OF. MARCELINO MARIDUEÑA PAP) +  (A0060-MARCELINO MARIDUEÑA)</t>
  </si>
  <si>
    <t>10</t>
  </si>
  <si>
    <t>ATM - OF. CENTRO HISTORICO DE CUE</t>
  </si>
  <si>
    <t>CUENCA CENTRO</t>
  </si>
  <si>
    <t>MATRIZ</t>
  </si>
  <si>
    <t>10-ATM - OF. CENTRO HISTORICO DE CUE</t>
  </si>
  <si>
    <t>(508-ATM - OF. MATRIZ LOBBY 2) +  (519-ATM - OF. MATRIZ LOBBY RE) +  (A0020-MATRIZ)</t>
  </si>
  <si>
    <t>-2.8980204687422, -79.002912303961</t>
  </si>
  <si>
    <t>A0077</t>
  </si>
  <si>
    <t>MERCADO CENTRAL</t>
  </si>
  <si>
    <t>A0077-CUENCA CENTRO</t>
  </si>
  <si>
    <t>(15-ATM - OF. MERCADO CENTRAL) +  (A0021-MERCADO CENTRAL)</t>
  </si>
  <si>
    <t>A0097</t>
  </si>
  <si>
    <t>A0097-DIPOR AMAGUAÑA</t>
  </si>
  <si>
    <t>(63-ATM - OF. MILAGRO) +  (360-ATM - OF. MILAGRO 2) +  (A0022-MILAGRO)</t>
  </si>
  <si>
    <t>-0.34977342693034, -78.458460733189</t>
  </si>
  <si>
    <t>33</t>
  </si>
  <si>
    <t>ATM - OF. DOMINGO COMIN</t>
  </si>
  <si>
    <t>DOMINGO COMIN</t>
  </si>
  <si>
    <t>Medio (Filtracion superficial)</t>
  </si>
  <si>
    <t>Medio (Filtracion superficial)Media (Cortes esporádicos)</t>
  </si>
  <si>
    <t>33-ATM - OF. DOMINGO COMIN</t>
  </si>
  <si>
    <t>(A0061-MONTAÑITA)</t>
  </si>
  <si>
    <t>-2.226104, -79.889969</t>
  </si>
  <si>
    <t>A0053</t>
  </si>
  <si>
    <t>PARQUE INDUSTRIAL CALIFORNIA</t>
  </si>
  <si>
    <t>A0053-DOMINGO COMIN</t>
  </si>
  <si>
    <t>(16-ATM - C.C. CALIFORNIA 1 OF.) +  (110-ATM - C.C. CALIFORNIA 2 OF.) +  (A0024-PARQUE INDUSTRIAL CALIFORNIA)</t>
  </si>
  <si>
    <t>105</t>
  </si>
  <si>
    <t>ATM - OF. EL CARMEN</t>
  </si>
  <si>
    <t>EL CARMEN</t>
  </si>
  <si>
    <t>PASEO SHOPPING AMBATO</t>
  </si>
  <si>
    <t>105-ATM - OF. EL CARMEN</t>
  </si>
  <si>
    <t>(134-ATM - PASEO SHOPPING AMBATO) +  (A0099-PASEO SHOPPING AMBATO)</t>
  </si>
  <si>
    <t>-0.27234110224082, -79.462855468174</t>
  </si>
  <si>
    <t>385</t>
  </si>
  <si>
    <t>ATM - OF. EL CARMEN 2</t>
  </si>
  <si>
    <t>PASEO SHOPPING DURAN</t>
  </si>
  <si>
    <t>385-ATM - OF. EL CARMEN 2</t>
  </si>
  <si>
    <t>(203-ATM - SHOPPING DURAN) +  (525-ATM - SHOPPING DURAN RE) +  (A0025-PASEO SHOPPING DURAN)</t>
  </si>
  <si>
    <t>A0007</t>
  </si>
  <si>
    <t>PASEO SHOPPING PLAYAS</t>
  </si>
  <si>
    <t>A0007-EL CARMEN</t>
  </si>
  <si>
    <t>(349-ATM - SHOPPING PLAYAS) +  (A0062-PASEO SHOPPING PLAYAS)</t>
  </si>
  <si>
    <t>426</t>
  </si>
  <si>
    <t>ATM - C.C. EL DORADO OF.</t>
  </si>
  <si>
    <t>EL DORADO</t>
  </si>
  <si>
    <t>POLICENTRO</t>
  </si>
  <si>
    <t>426-ATM - C.C. EL DORADO OF.</t>
  </si>
  <si>
    <t>(57-ATM - C.C. POLICENTRO 1 OF.) +  (107-ATM - C.C. POLICENTRO 2 OF.) +  (A0026-POLICENTRO)</t>
  </si>
  <si>
    <t>-2.0552497307291, -79.875205655434</t>
  </si>
  <si>
    <t>A0008</t>
  </si>
  <si>
    <t>PORTAL SHOPPING</t>
  </si>
  <si>
    <t>A0008-EL DORADO</t>
  </si>
  <si>
    <t>(463-ATM - C.C PORTAL SHOPPING CARAPUNGO) +  (A0098-PORTAL SHOPPING)</t>
  </si>
  <si>
    <t>40</t>
  </si>
  <si>
    <t>ATM - OF. EL EMPALME</t>
  </si>
  <si>
    <t>EL EMPALME</t>
  </si>
  <si>
    <t>40-ATM - OF. EL EMPALME</t>
  </si>
  <si>
    <t>(34-ATM - OF. PORTOVIEJO) +  (A0027-PORTOVIEJO)</t>
  </si>
  <si>
    <t>-1.0423740464626, -79.637542364418</t>
  </si>
  <si>
    <t>356</t>
  </si>
  <si>
    <t>ATM - OF EL EMPALME 2</t>
  </si>
  <si>
    <t>PORTUGAL</t>
  </si>
  <si>
    <t>356-ATM - OF EL EMPALME 2</t>
  </si>
  <si>
    <t>(423-ATM - QUITO PORTUGAL OF.) +  (A0083-PORTUGAL)</t>
  </si>
  <si>
    <t>A0009</t>
  </si>
  <si>
    <t>PRIMAX ENTRERIOS</t>
  </si>
  <si>
    <t>A0009-EL EMPALME</t>
  </si>
  <si>
    <t>(A0063-PRIMAX ENTRERIOS)</t>
  </si>
  <si>
    <t>96</t>
  </si>
  <si>
    <t>ATM - HYPERMARKET NORTE GYE. OF.</t>
  </si>
  <si>
    <t>PUERTO MARITIMO</t>
  </si>
  <si>
    <t>96-ATM - HYPERMARKET NORTE GYE. OF.</t>
  </si>
  <si>
    <t>(195-ATM - PUERTO MARITIMO) +  (A0064-PUERTO MARITIMO)</t>
  </si>
  <si>
    <t>-2.1276126973558, -79.906743559525</t>
  </si>
  <si>
    <t>A0055</t>
  </si>
  <si>
    <t>A0055-HIPERMARKET NORTE</t>
  </si>
  <si>
    <t>(6-ATM - OF. QUEVEDO) +  (373-ATM - OF. QUEVEDO 2) +  (A0028-QUEVEDO)</t>
  </si>
  <si>
    <t>296</t>
  </si>
  <si>
    <t>ATM - C.C. PASEO SHOPPING QUEVEDO</t>
  </si>
  <si>
    <t>QUICENTRO SUR SHOPPING</t>
  </si>
  <si>
    <t>296-ATM - C.C. PASEO SHOPPING QUEVEDO</t>
  </si>
  <si>
    <t>(282-ATM - QUICENTRO SUR SHOPPING OF.) +  (434-ATM - QUICENTRO SUR 2 SHOPPING) +  (A0081-QUICENTRO SUR SHOPPING)</t>
  </si>
  <si>
    <t>-0.999635, -79.467502</t>
  </si>
  <si>
    <t>A0056</t>
  </si>
  <si>
    <t>QUITO AMAZONAS</t>
  </si>
  <si>
    <t>A0056-HIPERMARKET QUEVEDO</t>
  </si>
  <si>
    <t>(8-ATM - OF. AMAZONAS) +  (A0073-QUITO AMAZONAS)</t>
  </si>
  <si>
    <t>322</t>
  </si>
  <si>
    <t>ATM - HYPERMARKET LOS VERGELES</t>
  </si>
  <si>
    <t>LOS VERGELES</t>
  </si>
  <si>
    <t>QUITO EL RECREO</t>
  </si>
  <si>
    <t>322-ATM - HYPERMARKET LOS VERGELES</t>
  </si>
  <si>
    <t>(76-ATM - C.C. EL RECREO OF.) +  (A0076-QUITO EL RECREO)</t>
  </si>
  <si>
    <t>-2.0928561683107, -79.911859219574</t>
  </si>
  <si>
    <t>A0054</t>
  </si>
  <si>
    <t>QUITO NORTE</t>
  </si>
  <si>
    <t>A0054-HIPERMARKET VERGELES</t>
  </si>
  <si>
    <t>(58-ATM - OF. NORTE LA PRENSA) +  (A0080-QUITO NORTE)</t>
  </si>
  <si>
    <t>413</t>
  </si>
  <si>
    <t>ATM - MATERNIDAD A. PAULSON</t>
  </si>
  <si>
    <t>URDESA</t>
  </si>
  <si>
    <t>QUITO SAN LUIS</t>
  </si>
  <si>
    <t>413-ATM - MATERNIDAD A. PAULSON</t>
  </si>
  <si>
    <t>(142-ATM - C.C. SAN LUIS OF.) +  (A0086-QUITO SAN LUIS)</t>
  </si>
  <si>
    <t>-2.178273190523, -79.884292520168</t>
  </si>
  <si>
    <t>A0044</t>
  </si>
  <si>
    <t>QUITO SUCURSAL MAYOR</t>
  </si>
  <si>
    <t>A0044-HOSPITAL ALFREDO G. PAULSON</t>
  </si>
  <si>
    <t>(11-ATM - OF. SUC. QUITO HALL 1) +  (12-ATM - OF. SUC. QUITO HALL 2) +  (A0089-QUITO SUCURSAL MAYOR)</t>
  </si>
  <si>
    <t>22</t>
  </si>
  <si>
    <t>ATM - HOSP. ROBERTO GILBERT OF</t>
  </si>
  <si>
    <t>QUITO TENIS</t>
  </si>
  <si>
    <t>22-ATM - HOSP. ROBERTO GILBERT OF</t>
  </si>
  <si>
    <t>(380-ATM - QUITO TENIS) +  (A0084-QUITO TENIS)</t>
  </si>
  <si>
    <t>-2.1759177515176, -79.884177649715</t>
  </si>
  <si>
    <t>A0058</t>
  </si>
  <si>
    <t>REMIGIO CRESPO TORAL</t>
  </si>
  <si>
    <t>A0058-HOSPITAL ROBERTO GILBERT</t>
  </si>
  <si>
    <t>(228-ATM - AG. REMIGIO CRESPO TORAL) +  (A0085-REMIGIO CRESPO TORAL)</t>
  </si>
  <si>
    <t>154</t>
  </si>
  <si>
    <t>ATM - OF. LA CONCORDIA</t>
  </si>
  <si>
    <t>LA CONCORDIA</t>
  </si>
  <si>
    <t>RÍO PLAZA</t>
  </si>
  <si>
    <t>154-ATM - OF. LA CONCORDIA</t>
  </si>
  <si>
    <t>(23-ATM - C.C. RIO PLAZA OF.) +  (A0102-RÍO PLAZA)</t>
  </si>
  <si>
    <t>0.0047511679635608, -79.397524259818</t>
  </si>
  <si>
    <t>A0010</t>
  </si>
  <si>
    <t>RIOCENTRO CEIBOS</t>
  </si>
  <si>
    <t>A0010-LA CONCORDIA</t>
  </si>
  <si>
    <t>(13-ATM - C.C.RIOCENTRO LOS CEIBOS OF) +  (89-ATM - C.C.RIOCENTRO LOS CEIBOS PB) +  (512-ATM - RIOCENTRO CEIBOS MUL) +  (A0065-RIOCENTRO LOS CEIBOS)</t>
  </si>
  <si>
    <t>54</t>
  </si>
  <si>
    <t>ATM - OF. LIBERTAD</t>
  </si>
  <si>
    <t>LA LIBERTAD</t>
  </si>
  <si>
    <t>RIOCENTRO SUR</t>
  </si>
  <si>
    <t>54-ATM - OF. LIBERTAD</t>
  </si>
  <si>
    <t>(A0057-RIOCENTRO SUR)</t>
  </si>
  <si>
    <t>-2.2212702792257, -80.908197224537</t>
  </si>
  <si>
    <t>369</t>
  </si>
  <si>
    <t>ATM - OF. LIBERTAD 2</t>
  </si>
  <si>
    <t>SAI BABA DURAN</t>
  </si>
  <si>
    <t>369-ATM - OF. LIBERTAD 2</t>
  </si>
  <si>
    <t>(297-ATM - OF. SAI BABA DURAN KM 4.5 V) +  (A0066-SAI BABA DURAN)</t>
  </si>
  <si>
    <t>A0011</t>
  </si>
  <si>
    <t>SALICA</t>
  </si>
  <si>
    <t>A0011-LA LIBERTAD</t>
  </si>
  <si>
    <t>(101-ATM - POSORJA FABRICA SALICA) +  (A0046-SALICA)</t>
  </si>
  <si>
    <t>60</t>
  </si>
  <si>
    <t>ATM - OF. LA TRONCAL</t>
  </si>
  <si>
    <t>LA TRONCAL</t>
  </si>
  <si>
    <t>60-ATM - OF. LA TRONCAL</t>
  </si>
  <si>
    <t>(312-ATM - OF. SAMBORONDON 1) +  (A0029-SAMBORONDON)</t>
  </si>
  <si>
    <t>-2.4231470858939, -79.343161462021</t>
  </si>
  <si>
    <t>387</t>
  </si>
  <si>
    <t>ATM - OF. LA TRONCAL 2</t>
  </si>
  <si>
    <t>SAN MARINO</t>
  </si>
  <si>
    <t>387-ATM - OF. LA TRONCAL 2</t>
  </si>
  <si>
    <t>(35-ATM - C.C. SAN MARINO 1 OF.) +  (114-ATM - C.C. SAN MARINO 2 OF.) +  (A0031-SAN MARINO)</t>
  </si>
  <si>
    <t>A0012</t>
  </si>
  <si>
    <t>A0012-LA TRONCAL</t>
  </si>
  <si>
    <t>(5-ATM - OF. SANTO DOMINGO) +  (377-ATM - OF SANTO DOMINGO 2) +  (A0032-SANTO DOMINGO)</t>
  </si>
  <si>
    <t>97</t>
  </si>
  <si>
    <t>ATM - OF. LAS MONJAS</t>
  </si>
  <si>
    <t>LAS MONJAS</t>
  </si>
  <si>
    <t>TERMINAL TERRESTRE</t>
  </si>
  <si>
    <t>97-ATM - OF. LAS MONJAS</t>
  </si>
  <si>
    <t>(193-ATM - TERMINAL TERRESTRE OF. 2) +  (202-ATM - TERMINAL TERRESTRE OF.) +  (363-ATM - TERMINAL TERRESTRE OF. 3) +  (386-ATM - TERMINAL TERRESTRE OF. 4) +  (A0067-TERMINAL TERRESTRE)</t>
  </si>
  <si>
    <t>-2.171101, -79.911039</t>
  </si>
  <si>
    <t>A0013</t>
  </si>
  <si>
    <t>TERMINAL TERRESTRE PASCUALES</t>
  </si>
  <si>
    <t>A0013-LAS MONJAS</t>
  </si>
  <si>
    <t>(404-ATM - TERMINAL SATELITE PASCUALES) +  (A0068-TERMINAL TERRESTRE PASCUALES)</t>
  </si>
  <si>
    <t>62</t>
  </si>
  <si>
    <t>ATM - OF. LOJA</t>
  </si>
  <si>
    <t>LOJA</t>
  </si>
  <si>
    <t>TONI PASCUALES</t>
  </si>
  <si>
    <t>62-ATM - OF. LOJA</t>
  </si>
  <si>
    <t>(427-ATM - TONI PASCUALES) +  (A0047-TONI PASCUALES)</t>
  </si>
  <si>
    <t>-3.996452, -79.20356</t>
  </si>
  <si>
    <t>A0079</t>
  </si>
  <si>
    <t>UEES</t>
  </si>
  <si>
    <t>A0079-LOJA</t>
  </si>
  <si>
    <t>(A0048-UEES)</t>
  </si>
  <si>
    <t>414</t>
  </si>
  <si>
    <t>ATM - LOS CEIBOS OF.</t>
  </si>
  <si>
    <t>LOS CEIBOS</t>
  </si>
  <si>
    <t>UNIV. SAN FRANCISCO DE QUITO</t>
  </si>
  <si>
    <t>414-ATM - LOS CEIBOS OF.</t>
  </si>
  <si>
    <t>(A0106-UNIV. SAN FRANCISCO DE QUITO)</t>
  </si>
  <si>
    <t>A0014</t>
  </si>
  <si>
    <t>URDESA</t>
  </si>
  <si>
    <t>A0014-LOS CEIBOS</t>
  </si>
  <si>
    <t>(2-ATM - OF. URDESA 1) +  (52-ATM - OF. URDESA 2) +  (A0033-URDESA)</t>
  </si>
  <si>
    <t>A0042</t>
  </si>
  <si>
    <t>VIA DAULE</t>
  </si>
  <si>
    <t>A0042-LOTERIA MANTA</t>
  </si>
  <si>
    <t>(21-ATM - GAS. MOBIL VIA DAULE OF.) +  (A0069-VIA DAULE)</t>
  </si>
  <si>
    <t>-0.946550, -80.722707</t>
  </si>
  <si>
    <t>A0101</t>
  </si>
  <si>
    <t>A0101-LOTERIA NACIONAL - 9 OCTUBRE</t>
  </si>
  <si>
    <t>A0041</t>
  </si>
  <si>
    <t>A0041-LOTERIA NACIONAL MATRIZ</t>
  </si>
  <si>
    <t>A0043</t>
  </si>
  <si>
    <t>A0043-LOTERIA PLAZA DE LA SUERTE - GANADORES</t>
  </si>
  <si>
    <t>447</t>
  </si>
  <si>
    <t>ATM - AG. MACHALA</t>
  </si>
  <si>
    <t>MACHALA</t>
  </si>
  <si>
    <t>Medio (Filtracion superficial)Baja (Línea prioritaria)</t>
  </si>
  <si>
    <t>447-ATM - AG. MACHALA</t>
  </si>
  <si>
    <t>A0016</t>
  </si>
  <si>
    <t>A0016-MACHALA</t>
  </si>
  <si>
    <t>7</t>
  </si>
  <si>
    <t>ATM - OF. MACHALA</t>
  </si>
  <si>
    <t>MACHALA CENTRO</t>
  </si>
  <si>
    <t>7-ATM - OF. MACHALA</t>
  </si>
  <si>
    <t>476</t>
  </si>
  <si>
    <t>ATM - OF. MACHALA 2</t>
  </si>
  <si>
    <t>476-ATM - OF. MACHALA 2</t>
  </si>
  <si>
    <t>A0015</t>
  </si>
  <si>
    <t>A0015-MACHALA CENTRO</t>
  </si>
  <si>
    <t>329</t>
  </si>
  <si>
    <t>ATM - CC MALL DEL SOL 1 OF</t>
  </si>
  <si>
    <t>MALL DEL SOL</t>
  </si>
  <si>
    <t>329-ATM - CC MALL DEL SOL 1 OF</t>
  </si>
  <si>
    <t>330</t>
  </si>
  <si>
    <t>ATM - CC MALL DEL SOL 2 OF</t>
  </si>
  <si>
    <t>330-ATM - CC MALL DEL SOL 2 OF</t>
  </si>
  <si>
    <t>A0017</t>
  </si>
  <si>
    <t>A0017-MALL DEL SOL</t>
  </si>
  <si>
    <t>93</t>
  </si>
  <si>
    <t>ATM - C.C. MALL DEL SUR 1 OF.</t>
  </si>
  <si>
    <t>MALL DEL SUR</t>
  </si>
  <si>
    <t>93-ATM - C.C. MALL DEL SUR 1 OF.</t>
  </si>
  <si>
    <t>140</t>
  </si>
  <si>
    <t>ATM - C.C. MALL DEL SUR 2 OF.</t>
  </si>
  <si>
    <t>140-ATM - C.C. MALL DEL SUR 2 OF.</t>
  </si>
  <si>
    <t>375</t>
  </si>
  <si>
    <t>ATM - CC MALL DEL SUR 3</t>
  </si>
  <si>
    <t>375-ATM - CC MALL DEL SUR 3</t>
  </si>
  <si>
    <t>A0018</t>
  </si>
  <si>
    <t>A0018-MALL DEL SUR</t>
  </si>
  <si>
    <t>383</t>
  </si>
  <si>
    <t>ATM - MALL EL FORTIN 1</t>
  </si>
  <si>
    <t>MALL EL FORTIN</t>
  </si>
  <si>
    <t>383-ATM - MALL EL FORTIN 1</t>
  </si>
  <si>
    <t>432</t>
  </si>
  <si>
    <t>ATM - MALL EL FORTIN 3 FF</t>
  </si>
  <si>
    <t>432-ATM - MALL EL FORTIN 3 FF</t>
  </si>
  <si>
    <t>A0059</t>
  </si>
  <si>
    <t>A0059-MALL EL FORTIN</t>
  </si>
  <si>
    <t>28</t>
  </si>
  <si>
    <t>ATM - OF. MANTA</t>
  </si>
  <si>
    <t>MANTA</t>
  </si>
  <si>
    <t>28-ATM - OF. MANTA</t>
  </si>
  <si>
    <t>A0019</t>
  </si>
  <si>
    <t>A0019-MANTA</t>
  </si>
  <si>
    <t>67</t>
  </si>
  <si>
    <t>ATM - OF. MARCELINO MARIDUEÑA PAP</t>
  </si>
  <si>
    <t>MILAGRO</t>
  </si>
  <si>
    <t>67-ATM - OF. MARCELINO MARIDUEÑA PAP</t>
  </si>
  <si>
    <t>A0060</t>
  </si>
  <si>
    <t>A0060-MARCELINO MARIDUEÑA</t>
  </si>
  <si>
    <t>508</t>
  </si>
  <si>
    <t>ATM - OF. MATRIZ LOBBY 2</t>
  </si>
  <si>
    <t>508-ATM - OF. MATRIZ LOBBY 2</t>
  </si>
  <si>
    <t>519</t>
  </si>
  <si>
    <t>ATM - OF. MATRIZ LOBBY RE</t>
  </si>
  <si>
    <t>519-ATM - OF. MATRIZ LOBBY RE</t>
  </si>
  <si>
    <t>A0020</t>
  </si>
  <si>
    <t>A0020-MATRIZ</t>
  </si>
  <si>
    <t>15</t>
  </si>
  <si>
    <t>ATM - OF. MERCADO CENTRAL</t>
  </si>
  <si>
    <t>MERCADO CENTRAL</t>
  </si>
  <si>
    <t>15-ATM - OF. MERCADO CENTRAL</t>
  </si>
  <si>
    <t>A0021</t>
  </si>
  <si>
    <t>A0021-MERCADO CENTRAL</t>
  </si>
  <si>
    <t>63</t>
  </si>
  <si>
    <t>ATM - OF. MILAGRO</t>
  </si>
  <si>
    <t>63-ATM - OF. MILAGRO</t>
  </si>
  <si>
    <t>360</t>
  </si>
  <si>
    <t>ATM - OF. MILAGRO 2</t>
  </si>
  <si>
    <t>360-ATM - OF. MILAGRO 2</t>
  </si>
  <si>
    <t>A0022</t>
  </si>
  <si>
    <t>A0022-MILAGRO</t>
  </si>
  <si>
    <t>A0061</t>
  </si>
  <si>
    <t>A0061-MONTAÑITA</t>
  </si>
  <si>
    <t>16</t>
  </si>
  <si>
    <t>ATM - C.C. CALIFORNIA 1 OF.</t>
  </si>
  <si>
    <t>16-ATM - C.C. CALIFORNIA 1 OF.</t>
  </si>
  <si>
    <t>110</t>
  </si>
  <si>
    <t>ATM - C.C. CALIFORNIA 2 OF.</t>
  </si>
  <si>
    <t>110-ATM - C.C. CALIFORNIA 2 OF.</t>
  </si>
  <si>
    <t>A0024</t>
  </si>
  <si>
    <t>A0024-PARQUE INDUSTRIAL CALIFORNIA</t>
  </si>
  <si>
    <t>134</t>
  </si>
  <si>
    <t>ATM - PASEO SHOPPING AMBATO</t>
  </si>
  <si>
    <t>PASEO SHOPPING AMBATO</t>
  </si>
  <si>
    <t>134-ATM - PASEO SHOPPING AMBATO</t>
  </si>
  <si>
    <t>A0099</t>
  </si>
  <si>
    <t>A0099-PASEO SHOPPING AMBATO</t>
  </si>
  <si>
    <t>203</t>
  </si>
  <si>
    <t>ATM - SHOPPING DURAN</t>
  </si>
  <si>
    <t>PASEO SHOPPING DURAN</t>
  </si>
  <si>
    <t>203-ATM - SHOPPING DURAN</t>
  </si>
  <si>
    <t>525</t>
  </si>
  <si>
    <t>ATM - SHOPPING DURAN RE</t>
  </si>
  <si>
    <t>525-ATM - SHOPPING DURAN RE</t>
  </si>
  <si>
    <t>A0025</t>
  </si>
  <si>
    <t>A0025-PASEO SHOPPING DURAN</t>
  </si>
  <si>
    <t>349</t>
  </si>
  <si>
    <t>ATM - SHOPPING PLAYAS</t>
  </si>
  <si>
    <t>PLAYAS</t>
  </si>
  <si>
    <t>349-ATM - SHOPPING PLAYAS</t>
  </si>
  <si>
    <t>A0062</t>
  </si>
  <si>
    <t>A0062-PASEO SHOPPING PLAYAS</t>
  </si>
  <si>
    <t>57</t>
  </si>
  <si>
    <t>ATM - C.C. POLICENTRO 1 OF.</t>
  </si>
  <si>
    <t>POLICENTRO</t>
  </si>
  <si>
    <t>57-ATM - C.C. POLICENTRO 1 OF.</t>
  </si>
  <si>
    <t>107</t>
  </si>
  <si>
    <t>ATM - C.C. POLICENTRO 2 OF.</t>
  </si>
  <si>
    <t>107-ATM - C.C. POLICENTRO 2 OF.</t>
  </si>
  <si>
    <t>A0026</t>
  </si>
  <si>
    <t>A0026-POLICENTRO</t>
  </si>
  <si>
    <t>463</t>
  </si>
  <si>
    <t>ATM - C.C PORTAL SHOPPING CARAPUNGO</t>
  </si>
  <si>
    <t>PORTAL SHOPPING</t>
  </si>
  <si>
    <t>463-ATM - C.C PORTAL SHOPPING CARAPUNGO</t>
  </si>
  <si>
    <t>A0098</t>
  </si>
  <si>
    <t>A0098-PORTAL SHOPPING</t>
  </si>
  <si>
    <t>34</t>
  </si>
  <si>
    <t>ATM - OF. PORTOVIEJO</t>
  </si>
  <si>
    <t>34-ATM - OF. PORTOVIEJO</t>
  </si>
  <si>
    <t>A0027</t>
  </si>
  <si>
    <t>A0027-PORTOVIEJO</t>
  </si>
  <si>
    <t>423</t>
  </si>
  <si>
    <t>ATM - QUITO PORTUGAL OF.</t>
  </si>
  <si>
    <t>PORTUGAL</t>
  </si>
  <si>
    <t>423-ATM - QUITO PORTUGAL OF.</t>
  </si>
  <si>
    <t>A0083</t>
  </si>
  <si>
    <t>A0083-PORTUGAL</t>
  </si>
  <si>
    <t>A0063</t>
  </si>
  <si>
    <t>A0063-PRIMAX ENTRERIOS</t>
  </si>
  <si>
    <t>195</t>
  </si>
  <si>
    <t>ATM - PUERTO MARITIMO</t>
  </si>
  <si>
    <t>195-ATM - PUERTO MARITIMO</t>
  </si>
  <si>
    <t>A0064</t>
  </si>
  <si>
    <t>A0064-PUERTO MARITIMO</t>
  </si>
  <si>
    <t>6</t>
  </si>
  <si>
    <t>ATM - OF. QUEVEDO</t>
  </si>
  <si>
    <t>6-ATM - OF. QUEVEDO</t>
  </si>
  <si>
    <t>373</t>
  </si>
  <si>
    <t>ATM - OF. QUEVEDO 2</t>
  </si>
  <si>
    <t>373-ATM - OF. QUEVEDO 2</t>
  </si>
  <si>
    <t>A0028</t>
  </si>
  <si>
    <t>A0028-QUEVEDO</t>
  </si>
  <si>
    <t>282</t>
  </si>
  <si>
    <t>ATM - QUICENTRO SUR SHOPPING OF.</t>
  </si>
  <si>
    <t>QUICENTRO SUR SHOPPING</t>
  </si>
  <si>
    <t>282-ATM - QUICENTRO SUR SHOPPING OF.</t>
  </si>
  <si>
    <t>434</t>
  </si>
  <si>
    <t>ATM - QUICENTRO SUR 2 SHOPPING</t>
  </si>
  <si>
    <t>434-ATM - QUICENTRO SUR 2 SHOPPING</t>
  </si>
  <si>
    <t>A0081</t>
  </si>
  <si>
    <t>A0081-QUICENTRO SUR SHOPPING</t>
  </si>
  <si>
    <t>8</t>
  </si>
  <si>
    <t>ATM - OF. AMAZONAS</t>
  </si>
  <si>
    <t>QUITO AMAZONAS</t>
  </si>
  <si>
    <t>8-ATM - OF. AMAZONAS</t>
  </si>
  <si>
    <t>A0073</t>
  </si>
  <si>
    <t>A0073-QUITO AMAZONAS</t>
  </si>
  <si>
    <t>76</t>
  </si>
  <si>
    <t>ATM - C.C. EL RECREO OF.</t>
  </si>
  <si>
    <t>QUITO EL RECREO</t>
  </si>
  <si>
    <t>76-ATM - C.C. EL RECREO OF.</t>
  </si>
  <si>
    <t>A0076</t>
  </si>
  <si>
    <t>A0076-QUITO EL RECREO</t>
  </si>
  <si>
    <t>58</t>
  </si>
  <si>
    <t>ATM - OF. NORTE LA PRENSA</t>
  </si>
  <si>
    <t>QUITO NORTE</t>
  </si>
  <si>
    <t>58-ATM - OF. NORTE LA PRENSA</t>
  </si>
  <si>
    <t>A0080</t>
  </si>
  <si>
    <t>A0080-QUITO NORTE</t>
  </si>
  <si>
    <t>142</t>
  </si>
  <si>
    <t>ATM - C.C. SAN LUIS OF.</t>
  </si>
  <si>
    <t>QUITO SAN LUIS</t>
  </si>
  <si>
    <t>142-ATM - C.C. SAN LUIS OF.</t>
  </si>
  <si>
    <t>A0086</t>
  </si>
  <si>
    <t>A0086-QUITO SAN LUIS</t>
  </si>
  <si>
    <t>11</t>
  </si>
  <si>
    <t>ATM - OF. SUC. QUITO HALL 1</t>
  </si>
  <si>
    <t>QUITO SUCURSAL MAYOR</t>
  </si>
  <si>
    <t>11-ATM - OF. SUC. QUITO HALL 1</t>
  </si>
  <si>
    <t>12</t>
  </si>
  <si>
    <t>ATM - OF. SUC. QUITO HALL 2</t>
  </si>
  <si>
    <t>12-ATM - OF. SUC. QUITO HALL 2</t>
  </si>
  <si>
    <t>A0089</t>
  </si>
  <si>
    <t>A0089-QUITO SUCURSAL MAYOR</t>
  </si>
  <si>
    <t>380</t>
  </si>
  <si>
    <t>ATM - QUITO TENIS</t>
  </si>
  <si>
    <t>QUITO TENIS</t>
  </si>
  <si>
    <t>380-ATM - QUITO TENIS</t>
  </si>
  <si>
    <t>A0084</t>
  </si>
  <si>
    <t>A0084-QUITO TENIS</t>
  </si>
  <si>
    <t>228</t>
  </si>
  <si>
    <t>ATM - AG. REMIGIO CRESPO TORAL</t>
  </si>
  <si>
    <t>REMIGIO CRESPO TORAL</t>
  </si>
  <si>
    <t>228-ATM - AG. REMIGIO CRESPO TORAL</t>
  </si>
  <si>
    <t>A0085</t>
  </si>
  <si>
    <t>A0085-REMIGIO CRESPO TORAL</t>
  </si>
  <si>
    <t>23</t>
  </si>
  <si>
    <t>ATM - C.C. RIO PLAZA OF.</t>
  </si>
  <si>
    <t>RÍO PLAZA</t>
  </si>
  <si>
    <t>23-ATM - C.C. RIO PLAZA OF.</t>
  </si>
  <si>
    <t>A0102</t>
  </si>
  <si>
    <t>A0102-RÍO PLAZA</t>
  </si>
  <si>
    <t>13</t>
  </si>
  <si>
    <t>ATM - C.C.RIOCENTRO LOS CEIBOS OF</t>
  </si>
  <si>
    <t>RIOCENTRO LOS CEIBOS</t>
  </si>
  <si>
    <t>13-ATM - C.C.RIOCENTRO LOS CEIBOS OF</t>
  </si>
  <si>
    <t>89</t>
  </si>
  <si>
    <t>ATM - C.C.RIOCENTRO LOS CEIBOS PB</t>
  </si>
  <si>
    <t>89-ATM - C.C.RIOCENTRO LOS CEIBOS PB</t>
  </si>
  <si>
    <t>512</t>
  </si>
  <si>
    <t>ATM - RIOCENTRO CEIBOS MUL</t>
  </si>
  <si>
    <t>512-ATM - RIOCENTRO CEIBOS MUL</t>
  </si>
  <si>
    <t>A0065</t>
  </si>
  <si>
    <t>RIOCENTRO LOS CEIBOS</t>
  </si>
  <si>
    <t>A0065-RIOCENTRO LOS CEIBOS</t>
  </si>
  <si>
    <t>A0057</t>
  </si>
  <si>
    <t>A0057-RIOCENTRO SUR</t>
  </si>
  <si>
    <t>297</t>
  </si>
  <si>
    <t>ATM - OF. SAI BABA DURAN KM 4.5 V</t>
  </si>
  <si>
    <t>SAI BABA DURAN</t>
  </si>
  <si>
    <t>297-ATM - OF. SAI BABA DURAN KM 4.5 V</t>
  </si>
  <si>
    <t>A0066</t>
  </si>
  <si>
    <t>A0066-SAI BABA DURAN</t>
  </si>
  <si>
    <t>101</t>
  </si>
  <si>
    <t>ATM - POSORJA FABRICA SALICA</t>
  </si>
  <si>
    <t>101-ATM - POSORJA FABRICA SALICA</t>
  </si>
  <si>
    <t>A0046</t>
  </si>
  <si>
    <t>POSORJA</t>
  </si>
  <si>
    <t>A0046-SALICA</t>
  </si>
  <si>
    <t>312</t>
  </si>
  <si>
    <t>ATM - OF. SAMBORONDON 1</t>
  </si>
  <si>
    <t>312-ATM - OF. SAMBORONDON 1</t>
  </si>
  <si>
    <t>A0029</t>
  </si>
  <si>
    <t>A0029-SAMBORONDON</t>
  </si>
  <si>
    <t>35</t>
  </si>
  <si>
    <t>ATM - C.C. SAN MARINO 1 OF.</t>
  </si>
  <si>
    <t>SAN MARINO</t>
  </si>
  <si>
    <t>35-ATM - C.C. SAN MARINO 1 OF.</t>
  </si>
  <si>
    <t>114</t>
  </si>
  <si>
    <t>ATM - C.C. SAN MARINO 2 OF.</t>
  </si>
  <si>
    <t>114-ATM - C.C. SAN MARINO 2 OF.</t>
  </si>
  <si>
    <t>A0031</t>
  </si>
  <si>
    <t>A0031-SAN MARINO</t>
  </si>
  <si>
    <t>5</t>
  </si>
  <si>
    <t>ATM - OF. SANTO DOMINGO</t>
  </si>
  <si>
    <t>5-ATM - OF. SANTO DOMINGO</t>
  </si>
  <si>
    <t>377</t>
  </si>
  <si>
    <t>ATM - OF SANTO DOMINGO 2</t>
  </si>
  <si>
    <t>377-ATM - OF SANTO DOMINGO 2</t>
  </si>
  <si>
    <t>A0032</t>
  </si>
  <si>
    <t>A0032-SANTO DOMINGO</t>
  </si>
  <si>
    <t>193</t>
  </si>
  <si>
    <t>ATM - TERMINAL TERRESTRE OF. 2</t>
  </si>
  <si>
    <t>193-ATM - TERMINAL TERRESTRE OF. 2</t>
  </si>
  <si>
    <t>202</t>
  </si>
  <si>
    <t>ATM - TERMINAL TERRESTRE OF.</t>
  </si>
  <si>
    <t>202-ATM - TERMINAL TERRESTRE OF.</t>
  </si>
  <si>
    <t>363</t>
  </si>
  <si>
    <t>ATM - TERMINAL TERRESTRE OF. 3</t>
  </si>
  <si>
    <t>363-ATM - TERMINAL TERRESTRE OF. 3</t>
  </si>
  <si>
    <t>386</t>
  </si>
  <si>
    <t>ATM - TERMINAL TERRESTRE OF. 4</t>
  </si>
  <si>
    <t>386-ATM - TERMINAL TERRESTRE OF. 4</t>
  </si>
  <si>
    <t>A0067</t>
  </si>
  <si>
    <t>A0067-TERMINAL TERRESTRE</t>
  </si>
  <si>
    <t>404</t>
  </si>
  <si>
    <t>ATM - TERMINAL SATELITE PASCUALES</t>
  </si>
  <si>
    <t>404-ATM - TERMINAL SATELITE PASCUALES</t>
  </si>
  <si>
    <t>A0068</t>
  </si>
  <si>
    <t>A0068-TERMINAL TERRESTRE PASCUALES</t>
  </si>
  <si>
    <t>427</t>
  </si>
  <si>
    <t>ATM - TONI PASCUALES</t>
  </si>
  <si>
    <t>427-ATM - TONI PASCUALES</t>
  </si>
  <si>
    <t>A0047</t>
  </si>
  <si>
    <t>A0047-TONI PASCUALES</t>
  </si>
  <si>
    <t>A0048</t>
  </si>
  <si>
    <t>A0048-UEES</t>
  </si>
  <si>
    <t>A0106</t>
  </si>
  <si>
    <t>A0106-UNIV. SAN FRANCISCO DE QUITO</t>
  </si>
  <si>
    <t>2</t>
  </si>
  <si>
    <t>ATM - OF. URDESA 1</t>
  </si>
  <si>
    <t>2-ATM - OF. URDESA 1</t>
  </si>
  <si>
    <t>52</t>
  </si>
  <si>
    <t>ATM - OF. URDESA 2</t>
  </si>
  <si>
    <t>52-ATM - OF. URDESA 2</t>
  </si>
  <si>
    <t>A0033</t>
  </si>
  <si>
    <t>A0033-URDESA</t>
  </si>
  <si>
    <t>21</t>
  </si>
  <si>
    <t>ATM - GAS. MOBIL VIA DAULE OF.</t>
  </si>
  <si>
    <t>VIA DAULE</t>
  </si>
  <si>
    <t>21-ATM - GAS. MOBIL VIA DAULE OF.</t>
  </si>
  <si>
    <t>A0069</t>
  </si>
  <si>
    <t>A0069-VIA DAULE</t>
  </si>
  <si>
    <t>Inundación</t>
  </si>
  <si>
    <t>Energía</t>
  </si>
  <si>
    <t>Medio (Filtracion superficial)Alta (Corte inmediato)</t>
  </si>
  <si>
    <t>¿Nivel de Riesgo Inundación?</t>
  </si>
  <si>
    <t>¿Sensibilidad a Cortes Eléctricos?</t>
  </si>
  <si>
    <t>Requiere obras físicas / mover equipos.</t>
  </si>
  <si>
    <t>Se va la luz apenas llueve o parpadea la red.</t>
  </si>
  <si>
    <t>Afecta acceso de clientes y técnicos.</t>
  </si>
  <si>
    <t>La red de la zona es relativamente estable.</t>
  </si>
  <si>
    <t>Zona segura contra lluvias.</t>
  </si>
  <si>
    <t>Zona de hospitales, centros cívicos o industrias.</t>
  </si>
  <si>
    <t>Nombre</t>
  </si>
  <si>
    <t>Punto de atencion</t>
  </si>
  <si>
    <t>Inundacion</t>
  </si>
  <si>
    <t>Electricidad</t>
  </si>
  <si>
    <t>Provincia</t>
  </si>
  <si>
    <t>Puntos</t>
  </si>
  <si>
    <t>N1</t>
  </si>
  <si>
    <t>N2</t>
  </si>
  <si>
    <t>N3</t>
  </si>
  <si>
    <t>N4</t>
  </si>
  <si>
    <t>Guayas</t>
  </si>
  <si>
    <t>0</t>
  </si>
  <si>
    <t>Pichincha</t>
  </si>
  <si>
    <t>39</t>
  </si>
  <si>
    <t>Manabí</t>
  </si>
  <si>
    <t>14</t>
  </si>
  <si>
    <t>1</t>
  </si>
  <si>
    <t>Santa Elena</t>
  </si>
  <si>
    <t>Los Ríos</t>
  </si>
  <si>
    <t>3</t>
  </si>
  <si>
    <t>Azuay</t>
  </si>
  <si>
    <t>Tungurahua</t>
  </si>
  <si>
    <t>Sto Domingo</t>
  </si>
  <si>
    <t>El Oro</t>
  </si>
  <si>
    <t>Cañar</t>
  </si>
  <si>
    <t>Loja</t>
  </si>
  <si>
    <t>Galápagos</t>
  </si>
  <si>
    <t>Esmeraldas</t>
  </si>
  <si>
    <t>Imbabura</t>
  </si>
  <si>
    <t>Cortes</t>
  </si>
  <si>
    <t>OLEAJE</t>
  </si>
  <si>
    <t>Riesgo Oleaje</t>
  </si>
  <si>
    <t>-2.1902874256513, -79.886598144368</t>
  </si>
  <si>
    <t>-2.1625162274386, -79.892682835394</t>
  </si>
  <si>
    <t>-2.192288, -79.881484</t>
  </si>
  <si>
    <t>-3.2791119581546, -79.933491846033</t>
  </si>
  <si>
    <t>-3.2603292549264, -79.959522265012</t>
  </si>
  <si>
    <t>-2.1554236042519, -79.893033267529</t>
  </si>
  <si>
    <t>-2.229148, -79.898457</t>
  </si>
  <si>
    <t>-2.1093123468678, -79.948822486491</t>
  </si>
  <si>
    <t>-0.94425921393838, -80.723623947716</t>
  </si>
  <si>
    <t>-2.2105501598945, -79.437369056319</t>
  </si>
  <si>
    <t>-2.1899148432515, -79.879941750822</t>
  </si>
  <si>
    <t>-2.1931403563253, -79.888195372799</t>
  </si>
  <si>
    <t>-2.128853, -79.591199</t>
  </si>
  <si>
    <t>-2.098622, -79.936398</t>
  </si>
  <si>
    <t>-1.2639733631127, -78.64012797686</t>
  </si>
  <si>
    <t>-2.177521326534, -79.825584041664</t>
  </si>
  <si>
    <t>-2.6429693045424, -80.385091008598</t>
  </si>
  <si>
    <t>-2.171177, -79.900567</t>
  </si>
  <si>
    <t>-0.10817009322543, -78.458035635582</t>
  </si>
  <si>
    <t>-1.0509264862944, -80.462363347939</t>
  </si>
  <si>
    <t>-0.18241667800904, -78.478438327572</t>
  </si>
  <si>
    <t>-2.1433243440434, -79.864877980495</t>
  </si>
  <si>
    <t>-2.2766347583468, -79.907462393849</t>
  </si>
  <si>
    <t>-1.0240457901493, -79.465783077013</t>
  </si>
  <si>
    <t>-0.28519660716465, -78.543643270809</t>
  </si>
  <si>
    <t>-0.197589, -78.489526</t>
  </si>
  <si>
    <t>-0.25220533226148, -78.523039906746</t>
  </si>
  <si>
    <t>-0.1524604, -78.4846344</t>
  </si>
  <si>
    <t>-0.30797568986608, -78.449547381615</t>
  </si>
  <si>
    <t>-0.17596927121457, -78.482782898148</t>
  </si>
  <si>
    <t>-0.16759569524283, -78.489494004353</t>
  </si>
  <si>
    <t>-2.8979883430347, -79.018494097602</t>
  </si>
  <si>
    <t>-2.145196, -79.863519</t>
  </si>
  <si>
    <t>-2.1775527356936, -79.942488674591</t>
  </si>
  <si>
    <t>-2.1927731140308, -79.823755483467</t>
  </si>
  <si>
    <t>-2.6981972431688, -80.248583733184</t>
  </si>
  <si>
    <t>-2.1694677273972, -79.89852522833</t>
  </si>
  <si>
    <t>-0.25177914970625, -79.164858575815</t>
  </si>
  <si>
    <t>-2.1426674740639, -79.879234608459</t>
  </si>
  <si>
    <t>-2.0737460686847, -79.94009852982</t>
  </si>
  <si>
    <t>-2.0652925839496, -79.924221892204</t>
  </si>
  <si>
    <t>-2.132507, -79.865439</t>
  </si>
  <si>
    <t>-2.175465, -79.904725</t>
  </si>
  <si>
    <t>-2.100086508467039, -79.93606156414486</t>
  </si>
  <si>
    <t>-0.944159850919098, -80.7236031464606</t>
  </si>
  <si>
    <t>Actual</t>
  </si>
  <si>
    <t>SI</t>
  </si>
  <si>
    <t>555</t>
  </si>
  <si>
    <t>554</t>
  </si>
  <si>
    <t>553</t>
  </si>
  <si>
    <t>552</t>
  </si>
  <si>
    <t>TUTI QUITUMBE</t>
  </si>
  <si>
    <t>TUTI VENTANAS</t>
  </si>
  <si>
    <t>TUTI VINCES</t>
  </si>
  <si>
    <t>MALL DEL ALTO</t>
  </si>
  <si>
    <t>-0.29636019146092185, -78.54633408816032</t>
  </si>
  <si>
    <t>-1.4443708373525077, -79.46363630270245</t>
  </si>
  <si>
    <t>-1.555794400436302, -79.75308492851916</t>
  </si>
  <si>
    <t>-2.921271543467622, -79.01501242289524</t>
  </si>
  <si>
    <t>A0107</t>
  </si>
  <si>
    <t>Ventanas</t>
  </si>
  <si>
    <t>Vinces</t>
  </si>
  <si>
    <t>Quito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</si>
</sst>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rodrir\Downloads\BD%20REGIONALES%201.xlsx" TargetMode="External"/><Relationship Id="rId1" Type="http://schemas.openxmlformats.org/officeDocument/2006/relationships/externalLinkPath" Target="/Users/jjrodrir/Downloads/BD%20REGIONALES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erre de saldos"/>
      <sheetName val="Control del flujo"/>
      <sheetName val="Reporte A04"/>
      <sheetName val="Hoja1"/>
      <sheetName val="Buscador"/>
      <sheetName val="Hoja2"/>
    </sheetNames>
    <sheetDataSet>
      <sheetData sheetId="0"/>
      <sheetData sheetId="1"/>
      <sheetData sheetId="2"/>
      <sheetData sheetId="3"/>
      <sheetData sheetId="4">
        <row r="1">
          <cell r="B1" t="str">
            <v>ID</v>
          </cell>
          <cell r="C1" t="str">
            <v>ID IN OUT</v>
          </cell>
          <cell r="D1" t="str">
            <v>GEOLOCALIZACIÓN</v>
          </cell>
          <cell r="E1" t="str">
            <v>Ciudad</v>
          </cell>
          <cell r="F1" t="str">
            <v>Provincia</v>
          </cell>
        </row>
        <row r="2">
          <cell r="B2" t="str">
            <v>2</v>
          </cell>
          <cell r="C2">
            <v>2</v>
          </cell>
          <cell r="D2" t="str">
            <v>-2.175465, -79.904725</v>
          </cell>
          <cell r="E2" t="str">
            <v>Guayaquil</v>
          </cell>
          <cell r="F2" t="str">
            <v>Guayas</v>
          </cell>
        </row>
        <row r="3">
          <cell r="B3" t="str">
            <v>4</v>
          </cell>
          <cell r="C3">
            <v>4</v>
          </cell>
          <cell r="D3" t="str">
            <v>-2.1477533987468, -79.899858642948</v>
          </cell>
          <cell r="E3" t="str">
            <v>Guayaquil</v>
          </cell>
          <cell r="F3" t="str">
            <v>Guayas</v>
          </cell>
        </row>
        <row r="4">
          <cell r="B4" t="str">
            <v>5</v>
          </cell>
          <cell r="C4">
            <v>5</v>
          </cell>
          <cell r="D4" t="str">
            <v>-0.25177914970625, -79.164858575815</v>
          </cell>
          <cell r="E4" t="str">
            <v>Santo Domingo de los Tsachilas</v>
          </cell>
          <cell r="F4" t="str">
            <v>Santo Domingo de los Tsáchilas</v>
          </cell>
        </row>
        <row r="5">
          <cell r="B5" t="str">
            <v>6</v>
          </cell>
          <cell r="C5">
            <v>6</v>
          </cell>
          <cell r="D5" t="str">
            <v>-1.0240457901493, -79.465783077013</v>
          </cell>
          <cell r="E5" t="str">
            <v>Quevedo</v>
          </cell>
          <cell r="F5" t="str">
            <v>Los Ríos</v>
          </cell>
        </row>
        <row r="6">
          <cell r="B6" t="str">
            <v>7</v>
          </cell>
          <cell r="C6">
            <v>7</v>
          </cell>
          <cell r="D6" t="str">
            <v>-3.2603292549264, -79.959522265012</v>
          </cell>
          <cell r="E6" t="str">
            <v>Machala</v>
          </cell>
          <cell r="F6" t="str">
            <v>El Oro</v>
          </cell>
        </row>
        <row r="7">
          <cell r="B7" t="str">
            <v>8</v>
          </cell>
          <cell r="C7">
            <v>8</v>
          </cell>
          <cell r="D7" t="str">
            <v>-0.197589, -78.489526</v>
          </cell>
          <cell r="E7" t="str">
            <v>Quito</v>
          </cell>
          <cell r="F7" t="str">
            <v>Pichincha</v>
          </cell>
        </row>
        <row r="8">
          <cell r="B8" t="str">
            <v>9</v>
          </cell>
          <cell r="C8">
            <v>9</v>
          </cell>
          <cell r="D8" t="str">
            <v>-2.2151156802047, -79.889049472387</v>
          </cell>
          <cell r="E8" t="str">
            <v>Guayaquil</v>
          </cell>
          <cell r="F8" t="str">
            <v>Guayas</v>
          </cell>
        </row>
        <row r="9">
          <cell r="B9" t="str">
            <v>10</v>
          </cell>
          <cell r="C9">
            <v>10</v>
          </cell>
          <cell r="D9" t="str">
            <v>-2.8980204687422, -79.002912303961</v>
          </cell>
          <cell r="E9" t="str">
            <v>Cuenca</v>
          </cell>
          <cell r="F9" t="str">
            <v>Azuay</v>
          </cell>
        </row>
        <row r="10">
          <cell r="B10" t="str">
            <v>11</v>
          </cell>
          <cell r="C10">
            <v>11</v>
          </cell>
          <cell r="D10" t="str">
            <v>-0.17596927121457, -78.482782898148</v>
          </cell>
          <cell r="E10" t="str">
            <v>Quito</v>
          </cell>
          <cell r="F10" t="str">
            <v>Pichincha</v>
          </cell>
        </row>
        <row r="11">
          <cell r="B11" t="str">
            <v>12</v>
          </cell>
          <cell r="C11">
            <v>12</v>
          </cell>
          <cell r="D11" t="str">
            <v>-0.17596927121457, -78.482782898148</v>
          </cell>
          <cell r="E11" t="str">
            <v>Quito</v>
          </cell>
          <cell r="F11" t="str">
            <v>Pichincha</v>
          </cell>
        </row>
        <row r="12">
          <cell r="B12" t="str">
            <v>13</v>
          </cell>
          <cell r="C12">
            <v>13</v>
          </cell>
          <cell r="D12" t="str">
            <v>-2.1775527356936, -79.942488674591</v>
          </cell>
          <cell r="E12" t="str">
            <v>Guayaquil</v>
          </cell>
          <cell r="F12" t="str">
            <v>Guayas</v>
          </cell>
        </row>
        <row r="13">
          <cell r="B13" t="str">
            <v>15</v>
          </cell>
          <cell r="C13">
            <v>15</v>
          </cell>
          <cell r="D13" t="str">
            <v>-2.1931403563253, -79.888195372799</v>
          </cell>
          <cell r="E13" t="str">
            <v>Guayaquil</v>
          </cell>
          <cell r="F13" t="str">
            <v>Guayas</v>
          </cell>
        </row>
        <row r="14">
          <cell r="B14" t="str">
            <v>16</v>
          </cell>
          <cell r="C14">
            <v>16</v>
          </cell>
          <cell r="D14" t="str">
            <v>-2.098622, -79.936398</v>
          </cell>
          <cell r="E14" t="str">
            <v>Guayaquil</v>
          </cell>
          <cell r="F14" t="str">
            <v>Guayas</v>
          </cell>
        </row>
        <row r="15">
          <cell r="B15" t="str">
            <v>17</v>
          </cell>
          <cell r="C15">
            <v>17</v>
          </cell>
          <cell r="D15" t="str">
            <v>-2.2147066028385, -80.079164378199</v>
          </cell>
          <cell r="E15" t="str">
            <v>Guayaquil</v>
          </cell>
          <cell r="F15" t="str">
            <v>Guayas</v>
          </cell>
        </row>
        <row r="16">
          <cell r="B16" t="str">
            <v>19</v>
          </cell>
          <cell r="C16">
            <v>19</v>
          </cell>
          <cell r="D16" t="str">
            <v>-2.1975819991814, -79.880894023025</v>
          </cell>
          <cell r="E16" t="str">
            <v>Guayaquil</v>
          </cell>
          <cell r="F16" t="str">
            <v>Guayas</v>
          </cell>
        </row>
        <row r="17">
          <cell r="B17" t="str">
            <v>21</v>
          </cell>
          <cell r="C17">
            <v>21</v>
          </cell>
          <cell r="D17" t="str">
            <v>-2.100086508467039, -79.93606156414486</v>
          </cell>
          <cell r="E17" t="str">
            <v>Guayaquil</v>
          </cell>
          <cell r="F17" t="str">
            <v>Guayas</v>
          </cell>
        </row>
        <row r="18">
          <cell r="B18" t="str">
            <v>22</v>
          </cell>
          <cell r="C18">
            <v>22</v>
          </cell>
          <cell r="D18" t="str">
            <v>-2.1759177515176, -79.884177649715</v>
          </cell>
          <cell r="E18" t="str">
            <v>Guayaquil</v>
          </cell>
          <cell r="F18" t="str">
            <v>Guayas</v>
          </cell>
        </row>
        <row r="19">
          <cell r="B19" t="str">
            <v>23</v>
          </cell>
          <cell r="C19">
            <v>23</v>
          </cell>
          <cell r="D19" t="str">
            <v>-2.145196, -79.863519</v>
          </cell>
          <cell r="E19" t="str">
            <v>Samborondón</v>
          </cell>
          <cell r="F19" t="str">
            <v>Guayas</v>
          </cell>
        </row>
        <row r="20">
          <cell r="B20" t="str">
            <v>28</v>
          </cell>
          <cell r="C20">
            <v>28</v>
          </cell>
          <cell r="D20" t="str">
            <v>-0.944159850919098, -80.7236031464606</v>
          </cell>
          <cell r="E20" t="str">
            <v>Manta</v>
          </cell>
          <cell r="F20" t="str">
            <v>Manabí</v>
          </cell>
        </row>
        <row r="21">
          <cell r="B21" t="str">
            <v>30</v>
          </cell>
          <cell r="C21">
            <v>30</v>
          </cell>
          <cell r="D21" t="str">
            <v>-2.1416837492179, -79.86476890903</v>
          </cell>
          <cell r="E21" t="str">
            <v>Samborondón</v>
          </cell>
          <cell r="F21" t="str">
            <v>Guayas</v>
          </cell>
        </row>
        <row r="22">
          <cell r="B22" t="str">
            <v>33</v>
          </cell>
          <cell r="C22">
            <v>33</v>
          </cell>
          <cell r="D22" t="str">
            <v>-2.226104, -79.889969</v>
          </cell>
          <cell r="E22" t="str">
            <v>Guayaquil</v>
          </cell>
          <cell r="F22" t="str">
            <v>Guayas</v>
          </cell>
        </row>
        <row r="23">
          <cell r="B23" t="str">
            <v>34</v>
          </cell>
          <cell r="C23">
            <v>34</v>
          </cell>
          <cell r="D23" t="str">
            <v>-1.0509264862944, -80.462363347939</v>
          </cell>
          <cell r="E23" t="str">
            <v>Portoviejo</v>
          </cell>
          <cell r="F23" t="str">
            <v>Manabí</v>
          </cell>
        </row>
        <row r="24">
          <cell r="B24" t="str">
            <v>35</v>
          </cell>
          <cell r="C24">
            <v>35</v>
          </cell>
          <cell r="D24" t="str">
            <v>-2.1694677273972, -79.89852522833</v>
          </cell>
          <cell r="E24" t="str">
            <v>Guayaquil</v>
          </cell>
          <cell r="F24" t="str">
            <v>Guayas</v>
          </cell>
        </row>
        <row r="25">
          <cell r="B25" t="str">
            <v>40</v>
          </cell>
          <cell r="C25">
            <v>40</v>
          </cell>
          <cell r="D25" t="str">
            <v>-1.0423740464626, -79.637542364418</v>
          </cell>
          <cell r="E25" t="str">
            <v>El Empalme</v>
          </cell>
          <cell r="F25" t="str">
            <v>Guayas</v>
          </cell>
        </row>
        <row r="26">
          <cell r="B26" t="str">
            <v>42</v>
          </cell>
          <cell r="C26">
            <v>42</v>
          </cell>
          <cell r="D26" t="str">
            <v>-0.89612508624406, -79.490255462025</v>
          </cell>
          <cell r="E26" t="str">
            <v>San Jacinto de Buena Fe</v>
          </cell>
          <cell r="F26" t="str">
            <v>Los Ríos</v>
          </cell>
        </row>
        <row r="27">
          <cell r="B27" t="str">
            <v>43</v>
          </cell>
          <cell r="C27">
            <v>43</v>
          </cell>
          <cell r="D27" t="str">
            <v>-2.905424, -79.003303</v>
          </cell>
          <cell r="E27" t="str">
            <v>Cuenca</v>
          </cell>
          <cell r="F27" t="str">
            <v>Azuay</v>
          </cell>
        </row>
        <row r="28">
          <cell r="B28" t="str">
            <v>44</v>
          </cell>
          <cell r="C28">
            <v>44</v>
          </cell>
          <cell r="D28" t="str">
            <v>-2.1901574203831116, -79.87989160148149</v>
          </cell>
          <cell r="E28" t="str">
            <v>Guayaquil</v>
          </cell>
          <cell r="F28" t="str">
            <v>Guayas</v>
          </cell>
        </row>
        <row r="29">
          <cell r="B29" t="str">
            <v>45</v>
          </cell>
          <cell r="C29">
            <v>45</v>
          </cell>
          <cell r="D29" t="str">
            <v>-2.1901574203831116, -79.87989160148149</v>
          </cell>
          <cell r="E29" t="str">
            <v>Guayaquil</v>
          </cell>
          <cell r="F29" t="str">
            <v>Guayas</v>
          </cell>
        </row>
        <row r="30">
          <cell r="B30" t="str">
            <v>47</v>
          </cell>
          <cell r="C30">
            <v>47</v>
          </cell>
          <cell r="D30" t="str">
            <v>-2.22946, -79.897379</v>
          </cell>
          <cell r="E30" t="str">
            <v>Guayaquil</v>
          </cell>
          <cell r="F30" t="str">
            <v>Guayas</v>
          </cell>
        </row>
        <row r="31">
          <cell r="B31" t="str">
            <v>48</v>
          </cell>
          <cell r="C31">
            <v>48</v>
          </cell>
          <cell r="D31" t="str">
            <v>-1.2413417400182, -78.628491327921</v>
          </cell>
          <cell r="E31" t="str">
            <v>Ambato</v>
          </cell>
          <cell r="F31" t="str">
            <v>Tungurahua</v>
          </cell>
        </row>
        <row r="32">
          <cell r="B32" t="str">
            <v>51</v>
          </cell>
          <cell r="C32">
            <v>51</v>
          </cell>
          <cell r="D32" t="str">
            <v>-2.1477533987468, -79.899858642948</v>
          </cell>
          <cell r="E32" t="str">
            <v>Guayaquil</v>
          </cell>
          <cell r="F32" t="str">
            <v>Guayas</v>
          </cell>
        </row>
        <row r="33">
          <cell r="B33" t="str">
            <v>52</v>
          </cell>
          <cell r="C33">
            <v>52</v>
          </cell>
          <cell r="D33" t="str">
            <v>-2.175465, -79.904725</v>
          </cell>
          <cell r="E33" t="str">
            <v>Guayaquil</v>
          </cell>
          <cell r="F33" t="str">
            <v>Guayas</v>
          </cell>
        </row>
        <row r="34">
          <cell r="B34" t="str">
            <v>54</v>
          </cell>
          <cell r="C34">
            <v>54</v>
          </cell>
          <cell r="D34" t="str">
            <v>-2.2212702792257, -80.908197224537</v>
          </cell>
          <cell r="E34" t="str">
            <v>La Libertad</v>
          </cell>
          <cell r="F34" t="str">
            <v>Santa Elena</v>
          </cell>
        </row>
        <row r="35">
          <cell r="B35" t="str">
            <v>55</v>
          </cell>
          <cell r="C35">
            <v>55</v>
          </cell>
          <cell r="D35" t="str">
            <v>-2.182177307418713, -79.90253473254785</v>
          </cell>
          <cell r="E35" t="str">
            <v>Guayaquil</v>
          </cell>
          <cell r="F35" t="str">
            <v>Guayas</v>
          </cell>
        </row>
        <row r="36">
          <cell r="B36" t="str">
            <v>57</v>
          </cell>
          <cell r="C36">
            <v>57</v>
          </cell>
          <cell r="D36" t="str">
            <v>-2.171177, -79.900567</v>
          </cell>
          <cell r="E36" t="str">
            <v>Guayaquil</v>
          </cell>
          <cell r="F36" t="str">
            <v>Guayas</v>
          </cell>
        </row>
        <row r="37">
          <cell r="B37" t="str">
            <v>58</v>
          </cell>
          <cell r="C37">
            <v>58</v>
          </cell>
          <cell r="D37" t="str">
            <v>-0.1524604, -78.4846344</v>
          </cell>
          <cell r="E37" t="str">
            <v>Quito</v>
          </cell>
          <cell r="F37" t="str">
            <v>Pichincha</v>
          </cell>
        </row>
        <row r="38">
          <cell r="B38" t="str">
            <v>60</v>
          </cell>
          <cell r="C38">
            <v>60</v>
          </cell>
          <cell r="D38" t="str">
            <v>-2.4231470858939, -79.343161462021</v>
          </cell>
          <cell r="E38" t="str">
            <v>La Troncal</v>
          </cell>
          <cell r="F38" t="str">
            <v>Cañar</v>
          </cell>
        </row>
        <row r="39">
          <cell r="B39" t="str">
            <v>61</v>
          </cell>
          <cell r="C39">
            <v>61</v>
          </cell>
          <cell r="D39" t="str">
            <v>-2.187578912005, -79.895072277516</v>
          </cell>
          <cell r="E39" t="str">
            <v>Guayaquil</v>
          </cell>
          <cell r="F39" t="str">
            <v>Guayas</v>
          </cell>
        </row>
        <row r="40">
          <cell r="B40" t="str">
            <v>62</v>
          </cell>
          <cell r="C40">
            <v>62</v>
          </cell>
          <cell r="D40" t="str">
            <v>-3.996452, -79.20356</v>
          </cell>
          <cell r="E40" t="str">
            <v>Loja</v>
          </cell>
          <cell r="F40" t="str">
            <v>Loja</v>
          </cell>
        </row>
        <row r="41">
          <cell r="B41" t="str">
            <v>63</v>
          </cell>
          <cell r="C41">
            <v>63</v>
          </cell>
          <cell r="D41" t="str">
            <v>-2.128853, -79.591199</v>
          </cell>
          <cell r="E41" t="str">
            <v>Milagro</v>
          </cell>
          <cell r="F41" t="str">
            <v>Guayas</v>
          </cell>
        </row>
        <row r="42">
          <cell r="B42" t="str">
            <v>64</v>
          </cell>
          <cell r="C42">
            <v>64</v>
          </cell>
          <cell r="D42" t="str">
            <v>-0.96635436268373, -80.705825555278</v>
          </cell>
          <cell r="E42" t="str">
            <v>Manta</v>
          </cell>
          <cell r="F42" t="str">
            <v>Manabí</v>
          </cell>
        </row>
        <row r="43">
          <cell r="B43" t="str">
            <v>65</v>
          </cell>
          <cell r="C43">
            <v>65</v>
          </cell>
          <cell r="D43" t="str">
            <v>-2.2259149907482, -80.921130024467</v>
          </cell>
          <cell r="E43" t="str">
            <v>La Libertad</v>
          </cell>
          <cell r="F43" t="str">
            <v>Santa Elena</v>
          </cell>
        </row>
        <row r="44">
          <cell r="B44" t="str">
            <v>66</v>
          </cell>
          <cell r="C44">
            <v>66</v>
          </cell>
          <cell r="D44" t="str">
            <v>-1.0611303680668, -80.465528737434</v>
          </cell>
          <cell r="E44" t="str">
            <v>Portoviejo</v>
          </cell>
          <cell r="F44" t="str">
            <v>Manabí</v>
          </cell>
        </row>
        <row r="45">
          <cell r="B45" t="str">
            <v>67</v>
          </cell>
          <cell r="C45">
            <v>67</v>
          </cell>
          <cell r="D45" t="str">
            <v>-2.2105501598945, -79.437369056319</v>
          </cell>
          <cell r="E45" t="str">
            <v>Coronel Marcelino Maridueña</v>
          </cell>
          <cell r="F45" t="str">
            <v>Guayas</v>
          </cell>
        </row>
        <row r="46">
          <cell r="B46" t="str">
            <v>73</v>
          </cell>
          <cell r="C46">
            <v>73</v>
          </cell>
          <cell r="D46" t="str">
            <v>-0.19645649880623, -78.499465020832</v>
          </cell>
          <cell r="E46" t="str">
            <v>Quito</v>
          </cell>
          <cell r="F46" t="str">
            <v>Pichincha</v>
          </cell>
        </row>
        <row r="47">
          <cell r="B47" t="str">
            <v>76</v>
          </cell>
          <cell r="C47">
            <v>76</v>
          </cell>
          <cell r="D47" t="str">
            <v>-0.25220533226148, -78.523039906746</v>
          </cell>
          <cell r="E47" t="str">
            <v>Quito</v>
          </cell>
          <cell r="F47" t="str">
            <v>Pichincha</v>
          </cell>
        </row>
        <row r="48">
          <cell r="B48" t="str">
            <v>77</v>
          </cell>
          <cell r="C48">
            <v>77</v>
          </cell>
          <cell r="D48" t="str">
            <v>-1.8004036332543, -79.535966546678</v>
          </cell>
          <cell r="E48" t="str">
            <v>Babahoyo</v>
          </cell>
          <cell r="F48" t="str">
            <v>Los Ríos</v>
          </cell>
        </row>
        <row r="49">
          <cell r="B49" t="str">
            <v>78</v>
          </cell>
          <cell r="C49">
            <v>78</v>
          </cell>
          <cell r="D49" t="str">
            <v>-2.1391045728212, -79.908231034393</v>
          </cell>
          <cell r="E49" t="str">
            <v>Guayaquil</v>
          </cell>
          <cell r="F49" t="str">
            <v>Guayas</v>
          </cell>
        </row>
        <row r="50">
          <cell r="B50" t="str">
            <v>81</v>
          </cell>
          <cell r="C50">
            <v>81</v>
          </cell>
          <cell r="D50" t="str">
            <v>-2.167722681587, -79.895933854002</v>
          </cell>
          <cell r="E50" t="str">
            <v>Guayaquil</v>
          </cell>
          <cell r="F50" t="str">
            <v>Guayas</v>
          </cell>
        </row>
        <row r="51">
          <cell r="B51" t="str">
            <v>82</v>
          </cell>
          <cell r="C51">
            <v>82</v>
          </cell>
          <cell r="D51" t="str">
            <v>-2.17146, -79.890154</v>
          </cell>
          <cell r="E51" t="str">
            <v>Guayaquil</v>
          </cell>
          <cell r="F51" t="str">
            <v>Guayas</v>
          </cell>
        </row>
        <row r="52">
          <cell r="B52" t="str">
            <v>86</v>
          </cell>
          <cell r="C52">
            <v>86</v>
          </cell>
          <cell r="D52" t="str">
            <v>-2.241638, -79.894834</v>
          </cell>
          <cell r="E52" t="str">
            <v>Guayaquil</v>
          </cell>
          <cell r="F52" t="str">
            <v>Guayas</v>
          </cell>
        </row>
        <row r="53">
          <cell r="B53" t="str">
            <v>87</v>
          </cell>
          <cell r="C53">
            <v>87</v>
          </cell>
          <cell r="D53" t="str">
            <v>-2.186303, -79.896037</v>
          </cell>
          <cell r="E53" t="str">
            <v>Guayaquil</v>
          </cell>
          <cell r="F53" t="str">
            <v>Guayas</v>
          </cell>
        </row>
        <row r="54">
          <cell r="B54" t="str">
            <v>89</v>
          </cell>
          <cell r="C54">
            <v>89</v>
          </cell>
          <cell r="D54" t="str">
            <v>-2.1775527356936, -79.942488674591</v>
          </cell>
          <cell r="E54" t="str">
            <v>Guayaquil</v>
          </cell>
          <cell r="F54" t="str">
            <v>Guayas</v>
          </cell>
        </row>
        <row r="55">
          <cell r="B55" t="str">
            <v>90</v>
          </cell>
          <cell r="C55">
            <v>90</v>
          </cell>
          <cell r="D55" t="str">
            <v>-2.1849135625438, -79.881834699406</v>
          </cell>
          <cell r="E55" t="str">
            <v>Guayaquil</v>
          </cell>
          <cell r="F55" t="str">
            <v>Guayas</v>
          </cell>
        </row>
        <row r="56">
          <cell r="B56" t="str">
            <v>91</v>
          </cell>
          <cell r="C56">
            <v>91</v>
          </cell>
          <cell r="D56" t="str">
            <v>-2.173939, -79.879981</v>
          </cell>
          <cell r="E56" t="str">
            <v>Guayaquil</v>
          </cell>
          <cell r="F56" t="str">
            <v>Guayas</v>
          </cell>
        </row>
        <row r="57">
          <cell r="B57" t="str">
            <v>92</v>
          </cell>
          <cell r="C57">
            <v>92</v>
          </cell>
          <cell r="D57" t="str">
            <v>-0.26793510547876, -78.538132240406</v>
          </cell>
          <cell r="E57" t="str">
            <v>Quito</v>
          </cell>
          <cell r="F57" t="str">
            <v>Pichincha</v>
          </cell>
        </row>
        <row r="58">
          <cell r="B58" t="str">
            <v>93</v>
          </cell>
          <cell r="C58">
            <v>93</v>
          </cell>
          <cell r="D58" t="str">
            <v>-2.229148, -79.898457</v>
          </cell>
          <cell r="E58" t="str">
            <v>Guayaquil</v>
          </cell>
          <cell r="F58" t="str">
            <v>Guayas</v>
          </cell>
        </row>
        <row r="59">
          <cell r="B59" t="str">
            <v>96</v>
          </cell>
          <cell r="C59">
            <v>96</v>
          </cell>
          <cell r="D59" t="str">
            <v>-2.1276126973558, -79.906743559525</v>
          </cell>
          <cell r="E59" t="str">
            <v>Guayaquil</v>
          </cell>
          <cell r="F59" t="str">
            <v>Guayas</v>
          </cell>
        </row>
        <row r="60">
          <cell r="B60" t="str">
            <v>97</v>
          </cell>
          <cell r="C60">
            <v>97</v>
          </cell>
          <cell r="D60" t="str">
            <v>-2.171101, -79.911039</v>
          </cell>
          <cell r="E60" t="str">
            <v>Guayaquil</v>
          </cell>
          <cell r="F60" t="str">
            <v>Guayas</v>
          </cell>
        </row>
        <row r="61">
          <cell r="B61" t="str">
            <v>101</v>
          </cell>
          <cell r="C61">
            <v>101</v>
          </cell>
          <cell r="D61" t="str">
            <v>-2.6981972431688, -80.248583733184</v>
          </cell>
          <cell r="E61" t="str">
            <v>Posorja</v>
          </cell>
          <cell r="F61" t="str">
            <v>Guayas</v>
          </cell>
        </row>
        <row r="62">
          <cell r="B62" t="str">
            <v>102</v>
          </cell>
          <cell r="C62">
            <v>102</v>
          </cell>
          <cell r="D62" t="str">
            <v>-2.1364964620815, -79.594431549598</v>
          </cell>
          <cell r="E62" t="str">
            <v>Milagro</v>
          </cell>
          <cell r="F62" t="str">
            <v>Guayas</v>
          </cell>
        </row>
        <row r="63">
          <cell r="B63" t="str">
            <v>104</v>
          </cell>
          <cell r="C63">
            <v>104</v>
          </cell>
          <cell r="D63" t="str">
            <v>-0.196763, -78.435913</v>
          </cell>
          <cell r="E63" t="str">
            <v>Cumbaya</v>
          </cell>
          <cell r="F63" t="str">
            <v>Pichincha</v>
          </cell>
        </row>
        <row r="64">
          <cell r="B64" t="str">
            <v>105</v>
          </cell>
          <cell r="C64">
            <v>105</v>
          </cell>
          <cell r="D64" t="str">
            <v>-0.27234110224082, -79.462855468174</v>
          </cell>
          <cell r="E64" t="str">
            <v>El Carmen</v>
          </cell>
          <cell r="F64" t="str">
            <v>Manabí</v>
          </cell>
        </row>
        <row r="65">
          <cell r="B65" t="str">
            <v>106</v>
          </cell>
          <cell r="C65">
            <v>106</v>
          </cell>
          <cell r="D65" t="str">
            <v>-2.1593596393913, -79.92793582209</v>
          </cell>
          <cell r="E65" t="str">
            <v>Guayaquil</v>
          </cell>
          <cell r="F65" t="str">
            <v>Guayas</v>
          </cell>
        </row>
        <row r="66">
          <cell r="B66" t="str">
            <v>107</v>
          </cell>
          <cell r="C66">
            <v>107</v>
          </cell>
          <cell r="D66" t="str">
            <v>-2.171177, -79.900567</v>
          </cell>
          <cell r="E66" t="str">
            <v>Guayaquil</v>
          </cell>
          <cell r="F66" t="str">
            <v>Guayas</v>
          </cell>
        </row>
        <row r="67">
          <cell r="B67" t="str">
            <v>108</v>
          </cell>
          <cell r="C67">
            <v>108</v>
          </cell>
          <cell r="D67" t="str">
            <v>-2.1770491363457, -79.883544288361</v>
          </cell>
          <cell r="E67" t="str">
            <v>Guayaquil</v>
          </cell>
          <cell r="F67" t="str">
            <v>Guayas</v>
          </cell>
        </row>
        <row r="68">
          <cell r="B68" t="str">
            <v>110</v>
          </cell>
          <cell r="C68">
            <v>110</v>
          </cell>
          <cell r="D68" t="str">
            <v>-2.098622, -79.936398</v>
          </cell>
          <cell r="E68" t="str">
            <v>Guayaquil</v>
          </cell>
          <cell r="F68" t="str">
            <v>Guayas</v>
          </cell>
        </row>
        <row r="69">
          <cell r="B69" t="str">
            <v>114</v>
          </cell>
          <cell r="C69">
            <v>114</v>
          </cell>
          <cell r="D69" t="str">
            <v>-2.1694677273972, -79.89852522833</v>
          </cell>
          <cell r="E69" t="str">
            <v>Guayaquil</v>
          </cell>
          <cell r="F69" t="str">
            <v>Guayas</v>
          </cell>
        </row>
        <row r="70">
          <cell r="B70" t="str">
            <v>116</v>
          </cell>
          <cell r="C70">
            <v>116</v>
          </cell>
          <cell r="D70" t="str">
            <v>-2.198379622975, -79.884574652712</v>
          </cell>
          <cell r="E70" t="str">
            <v>Guayaquil</v>
          </cell>
          <cell r="F70" t="str">
            <v>Guayas</v>
          </cell>
        </row>
        <row r="71">
          <cell r="B71" t="str">
            <v>117</v>
          </cell>
          <cell r="C71">
            <v>117</v>
          </cell>
          <cell r="D71" t="str">
            <v>-2.186439, -79.88382</v>
          </cell>
          <cell r="E71" t="str">
            <v>Guayaquil</v>
          </cell>
          <cell r="F71" t="str">
            <v>Guayas</v>
          </cell>
        </row>
        <row r="72">
          <cell r="B72" t="str">
            <v>118</v>
          </cell>
          <cell r="C72">
            <v>118</v>
          </cell>
          <cell r="D72" t="str">
            <v>-2.1707506252272, -79.916886046627</v>
          </cell>
          <cell r="E72" t="str">
            <v>Guayaquil</v>
          </cell>
          <cell r="F72" t="str">
            <v>Guayas</v>
          </cell>
        </row>
        <row r="73">
          <cell r="B73" t="str">
            <v>120</v>
          </cell>
          <cell r="C73">
            <v>120</v>
          </cell>
          <cell r="D73" t="str">
            <v>-2.2016875712695, -79.916651315123</v>
          </cell>
          <cell r="E73" t="str">
            <v>Guayaquil</v>
          </cell>
          <cell r="F73" t="str">
            <v>Guayas</v>
          </cell>
        </row>
        <row r="74">
          <cell r="B74" t="str">
            <v>123</v>
          </cell>
          <cell r="C74">
            <v>123</v>
          </cell>
          <cell r="D74" t="str">
            <v>-2.2264001623105, -80.858451644245</v>
          </cell>
          <cell r="E74" t="str">
            <v>Santa Elena</v>
          </cell>
          <cell r="F74" t="str">
            <v>Santa Elena</v>
          </cell>
        </row>
        <row r="75">
          <cell r="B75" t="str">
            <v>125</v>
          </cell>
          <cell r="C75">
            <v>125</v>
          </cell>
          <cell r="D75" t="str">
            <v>-0.18534561055841, -78.478990546681</v>
          </cell>
          <cell r="E75" t="str">
            <v>Quito</v>
          </cell>
          <cell r="F75" t="str">
            <v>Pichincha</v>
          </cell>
        </row>
        <row r="76">
          <cell r="B76" t="str">
            <v>131</v>
          </cell>
          <cell r="C76">
            <v>131</v>
          </cell>
          <cell r="D76" t="str">
            <v>-2.1450553375999, -79.922635587483</v>
          </cell>
          <cell r="E76" t="str">
            <v>Guayaquil</v>
          </cell>
          <cell r="F76" t="str">
            <v>Guayas</v>
          </cell>
        </row>
        <row r="77">
          <cell r="B77" t="str">
            <v>134</v>
          </cell>
          <cell r="C77">
            <v>134</v>
          </cell>
          <cell r="D77" t="str">
            <v>-1.2639733631127, -78.64012797686</v>
          </cell>
          <cell r="E77" t="str">
            <v>Ambato</v>
          </cell>
          <cell r="F77" t="str">
            <v>Tungurahua</v>
          </cell>
        </row>
        <row r="78">
          <cell r="B78" t="str">
            <v>140</v>
          </cell>
          <cell r="C78">
            <v>140</v>
          </cell>
          <cell r="D78" t="str">
            <v>-2.229148, -79.898457</v>
          </cell>
          <cell r="E78" t="str">
            <v>Guayaquil</v>
          </cell>
          <cell r="F78" t="str">
            <v>Guayas</v>
          </cell>
        </row>
        <row r="79">
          <cell r="B79" t="str">
            <v>141</v>
          </cell>
          <cell r="C79">
            <v>141</v>
          </cell>
          <cell r="D79" t="str">
            <v>-2.13962, -79.89843</v>
          </cell>
          <cell r="E79" t="str">
            <v>Guayaquil</v>
          </cell>
          <cell r="F79" t="str">
            <v>Guayas</v>
          </cell>
        </row>
        <row r="80">
          <cell r="B80" t="str">
            <v>142</v>
          </cell>
          <cell r="C80">
            <v>142</v>
          </cell>
          <cell r="D80" t="str">
            <v>-0.30797568986608, -78.449547381615</v>
          </cell>
          <cell r="E80" t="str">
            <v>Sangolquí</v>
          </cell>
          <cell r="F80" t="str">
            <v>Pichincha</v>
          </cell>
        </row>
        <row r="81">
          <cell r="B81" t="str">
            <v>143</v>
          </cell>
          <cell r="C81">
            <v>143</v>
          </cell>
          <cell r="D81" t="str">
            <v>-2.157744, -79.919684</v>
          </cell>
          <cell r="E81" t="str">
            <v>Guayaquil</v>
          </cell>
          <cell r="F81" t="str">
            <v>Guayas</v>
          </cell>
        </row>
        <row r="82">
          <cell r="B82" t="str">
            <v>145</v>
          </cell>
          <cell r="C82">
            <v>145</v>
          </cell>
          <cell r="D82" t="str">
            <v>-2.1479507455355, -79.884499354492</v>
          </cell>
          <cell r="E82" t="str">
            <v>Guayaquil</v>
          </cell>
          <cell r="F82" t="str">
            <v>Guayas</v>
          </cell>
        </row>
        <row r="83">
          <cell r="B83" t="str">
            <v>146</v>
          </cell>
          <cell r="C83">
            <v>146</v>
          </cell>
          <cell r="D83" t="str">
            <v>-2.2509105545268, -79.899715862022</v>
          </cell>
          <cell r="E83" t="str">
            <v>Guayaquil</v>
          </cell>
          <cell r="F83" t="str">
            <v>Guayas</v>
          </cell>
        </row>
        <row r="84">
          <cell r="B84" t="str">
            <v>150</v>
          </cell>
          <cell r="C84">
            <v>150</v>
          </cell>
          <cell r="D84" t="str">
            <v>-0.158622, -78.488167</v>
          </cell>
          <cell r="E84" t="str">
            <v>Quito</v>
          </cell>
          <cell r="F84" t="str">
            <v>Pichincha</v>
          </cell>
        </row>
        <row r="85">
          <cell r="B85" t="str">
            <v>151</v>
          </cell>
          <cell r="C85">
            <v>151</v>
          </cell>
          <cell r="D85" t="str">
            <v>-2.2111070203254, -79.930980380145</v>
          </cell>
          <cell r="E85" t="str">
            <v>Guayaquil</v>
          </cell>
          <cell r="F85" t="str">
            <v>Guayas</v>
          </cell>
        </row>
        <row r="86">
          <cell r="B86" t="str">
            <v>152</v>
          </cell>
          <cell r="C86">
            <v>152</v>
          </cell>
          <cell r="D86" t="str">
            <v>-1.8266960736485, -80.753190150188</v>
          </cell>
          <cell r="E86" t="str">
            <v>Montañita</v>
          </cell>
          <cell r="F86" t="str">
            <v>Santa Elena</v>
          </cell>
        </row>
        <row r="87">
          <cell r="B87" t="str">
            <v>153</v>
          </cell>
          <cell r="C87">
            <v>153</v>
          </cell>
          <cell r="D87" t="str">
            <v>-0.74773832152368, -90.313735658583</v>
          </cell>
          <cell r="E87" t="str">
            <v>Puerto Ayora</v>
          </cell>
          <cell r="F87" t="str">
            <v>Galápagos</v>
          </cell>
        </row>
        <row r="88">
          <cell r="B88" t="str">
            <v>154</v>
          </cell>
          <cell r="C88">
            <v>154</v>
          </cell>
          <cell r="D88" t="str">
            <v>0.0047511679635608, -79.397524259818</v>
          </cell>
          <cell r="E88" t="str">
            <v>San Isidro</v>
          </cell>
          <cell r="F88" t="str">
            <v>Santo Domingo de los Tsáchilas</v>
          </cell>
        </row>
        <row r="89">
          <cell r="B89" t="str">
            <v>158</v>
          </cell>
          <cell r="C89">
            <v>158</v>
          </cell>
          <cell r="D89" t="str">
            <v>-2.0684263198515, -79.933219747781</v>
          </cell>
          <cell r="E89" t="str">
            <v>Guayaquil</v>
          </cell>
          <cell r="F89" t="str">
            <v>Guayas</v>
          </cell>
        </row>
        <row r="90">
          <cell r="B90" t="str">
            <v>159</v>
          </cell>
          <cell r="C90">
            <v>159</v>
          </cell>
          <cell r="D90" t="str">
            <v>-2.140413, -80.777271</v>
          </cell>
          <cell r="E90" t="str">
            <v>San Pablo</v>
          </cell>
          <cell r="F90" t="str">
            <v>Santa Elena</v>
          </cell>
        </row>
        <row r="91">
          <cell r="B91" t="str">
            <v>160</v>
          </cell>
          <cell r="C91">
            <v>160</v>
          </cell>
          <cell r="D91" t="str">
            <v>-2.2052601382149, -80.95853400435</v>
          </cell>
          <cell r="E91" t="str">
            <v>Salinas</v>
          </cell>
          <cell r="F91" t="str">
            <v>Santa Elena</v>
          </cell>
        </row>
        <row r="92">
          <cell r="B92" t="str">
            <v>164</v>
          </cell>
          <cell r="C92">
            <v>164</v>
          </cell>
          <cell r="D92" t="str">
            <v>-0.32772240690324, -78.450253377416</v>
          </cell>
          <cell r="E92" t="str">
            <v>Sangolquí</v>
          </cell>
          <cell r="F92" t="str">
            <v>Pichincha</v>
          </cell>
        </row>
        <row r="93">
          <cell r="B93" t="str">
            <v>165</v>
          </cell>
          <cell r="C93">
            <v>165</v>
          </cell>
          <cell r="D93" t="str">
            <v>-2.1335977860225, -79.904058839287</v>
          </cell>
          <cell r="E93" t="str">
            <v>Guayaquil</v>
          </cell>
          <cell r="F93" t="str">
            <v>Guayas</v>
          </cell>
        </row>
        <row r="94">
          <cell r="B94" t="str">
            <v>166</v>
          </cell>
          <cell r="C94">
            <v>166</v>
          </cell>
          <cell r="D94" t="str">
            <v>-2.1335977860225, -79.904058839287</v>
          </cell>
          <cell r="E94" t="str">
            <v>Guayaquil</v>
          </cell>
          <cell r="F94" t="str">
            <v>Guayas</v>
          </cell>
        </row>
        <row r="95">
          <cell r="B95" t="str">
            <v>172</v>
          </cell>
          <cell r="C95">
            <v>172</v>
          </cell>
          <cell r="D95" t="str">
            <v>-2.7378502881398, -78.846438442577</v>
          </cell>
          <cell r="E95" t="str">
            <v>Azogues</v>
          </cell>
          <cell r="F95" t="str">
            <v>Cañar</v>
          </cell>
        </row>
        <row r="96">
          <cell r="B96" t="str">
            <v>185</v>
          </cell>
          <cell r="C96">
            <v>185</v>
          </cell>
          <cell r="D96" t="str">
            <v>-2.2512463482489, -79.884848395894</v>
          </cell>
          <cell r="E96" t="str">
            <v>Guayaquil</v>
          </cell>
          <cell r="F96" t="str">
            <v>Guayas</v>
          </cell>
        </row>
        <row r="97">
          <cell r="B97" t="str">
            <v>188</v>
          </cell>
          <cell r="C97">
            <v>188</v>
          </cell>
          <cell r="D97" t="str">
            <v>-2.1950347616865, -79.887821864912</v>
          </cell>
          <cell r="E97" t="str">
            <v>Guayaquil</v>
          </cell>
          <cell r="F97" t="str">
            <v>Guayas</v>
          </cell>
        </row>
        <row r="98">
          <cell r="B98" t="str">
            <v>189</v>
          </cell>
          <cell r="C98">
            <v>189</v>
          </cell>
          <cell r="D98" t="str">
            <v>-2.1704007384558, -79.852365835039</v>
          </cell>
          <cell r="E98" t="str">
            <v>Durán</v>
          </cell>
          <cell r="F98" t="str">
            <v>Guayas</v>
          </cell>
        </row>
        <row r="99">
          <cell r="B99" t="str">
            <v>190</v>
          </cell>
          <cell r="C99">
            <v>190</v>
          </cell>
          <cell r="D99" t="str">
            <v>-2.1829241009892, -79.881410434532</v>
          </cell>
          <cell r="E99" t="str">
            <v>Guayaquil</v>
          </cell>
          <cell r="F99" t="str">
            <v>Guayas</v>
          </cell>
        </row>
        <row r="100">
          <cell r="B100" t="str">
            <v>193</v>
          </cell>
          <cell r="C100">
            <v>193</v>
          </cell>
          <cell r="D100" t="str">
            <v>-2.1426674740639, -79.879234608459</v>
          </cell>
          <cell r="E100" t="str">
            <v>Guayaquil</v>
          </cell>
          <cell r="F100" t="str">
            <v>Guayas</v>
          </cell>
        </row>
        <row r="101">
          <cell r="B101" t="str">
            <v>195</v>
          </cell>
          <cell r="C101">
            <v>195</v>
          </cell>
          <cell r="D101" t="str">
            <v>-2.2766347583468, -79.907462393849</v>
          </cell>
          <cell r="E101" t="str">
            <v>Guayaquil</v>
          </cell>
          <cell r="F101" t="str">
            <v>Guayas</v>
          </cell>
        </row>
        <row r="102">
          <cell r="B102" t="str">
            <v>198</v>
          </cell>
          <cell r="C102">
            <v>198</v>
          </cell>
          <cell r="D102" t="str">
            <v>-2.1435173279742, -79.864226203705</v>
          </cell>
          <cell r="E102" t="str">
            <v>Samborondón</v>
          </cell>
          <cell r="F102" t="str">
            <v>Guayas</v>
          </cell>
        </row>
        <row r="103">
          <cell r="B103" t="str">
            <v>199</v>
          </cell>
          <cell r="C103">
            <v>199</v>
          </cell>
          <cell r="D103" t="str">
            <v>-0.144391, -78.481918</v>
          </cell>
          <cell r="E103" t="str">
            <v>Quito</v>
          </cell>
          <cell r="F103" t="str">
            <v>Pichincha</v>
          </cell>
        </row>
        <row r="104">
          <cell r="B104" t="str">
            <v>200</v>
          </cell>
          <cell r="C104">
            <v>200</v>
          </cell>
          <cell r="D104" t="str">
            <v>-2.1456054262986, -79.894860542328</v>
          </cell>
          <cell r="E104" t="str">
            <v>Guayaquil</v>
          </cell>
          <cell r="F104" t="str">
            <v>Guayas</v>
          </cell>
        </row>
        <row r="105">
          <cell r="B105" t="str">
            <v>202</v>
          </cell>
          <cell r="C105">
            <v>202</v>
          </cell>
          <cell r="D105" t="str">
            <v>-2.1426674740639, -79.879234608459</v>
          </cell>
          <cell r="E105" t="str">
            <v>Guayaquil</v>
          </cell>
          <cell r="F105" t="str">
            <v>Guayas</v>
          </cell>
        </row>
        <row r="106">
          <cell r="B106" t="str">
            <v>203</v>
          </cell>
          <cell r="C106">
            <v>203</v>
          </cell>
          <cell r="D106" t="str">
            <v>-2.177521326534, -79.825584041664</v>
          </cell>
          <cell r="E106" t="str">
            <v>Durán</v>
          </cell>
          <cell r="F106" t="str">
            <v>Guayas</v>
          </cell>
        </row>
        <row r="107">
          <cell r="B107" t="str">
            <v>210</v>
          </cell>
          <cell r="C107">
            <v>210</v>
          </cell>
          <cell r="D107" t="str">
            <v>-2.128815, -79.93605</v>
          </cell>
          <cell r="E107" t="str">
            <v>Guayaquil</v>
          </cell>
          <cell r="F107" t="str">
            <v>Guayas</v>
          </cell>
        </row>
        <row r="108">
          <cell r="B108" t="str">
            <v>214</v>
          </cell>
          <cell r="C108">
            <v>214</v>
          </cell>
          <cell r="D108" t="str">
            <v>-2.1901574203831116, -79.87989160148149</v>
          </cell>
          <cell r="E108" t="str">
            <v>Guayaquil</v>
          </cell>
          <cell r="F108" t="str">
            <v>Guayas</v>
          </cell>
        </row>
        <row r="109">
          <cell r="B109" t="str">
            <v>215</v>
          </cell>
          <cell r="C109">
            <v>215</v>
          </cell>
          <cell r="D109" t="str">
            <v>-2.1901574203831116, -79.87989160148149</v>
          </cell>
          <cell r="E109" t="str">
            <v>Guayaquil</v>
          </cell>
          <cell r="F109" t="str">
            <v>Guayas</v>
          </cell>
        </row>
        <row r="110">
          <cell r="B110" t="str">
            <v>216</v>
          </cell>
          <cell r="C110">
            <v>216</v>
          </cell>
          <cell r="D110" t="str">
            <v>-2.157309, -79.930797</v>
          </cell>
          <cell r="E110" t="str">
            <v>Guayaquil</v>
          </cell>
          <cell r="F110" t="str">
            <v>Guayas</v>
          </cell>
        </row>
        <row r="111">
          <cell r="B111" t="str">
            <v>218</v>
          </cell>
          <cell r="C111">
            <v>218</v>
          </cell>
          <cell r="D111" t="str">
            <v>-2.091918219583, -79.903310958893</v>
          </cell>
          <cell r="E111" t="str">
            <v>Guayaquil</v>
          </cell>
          <cell r="F111" t="str">
            <v>Guayas</v>
          </cell>
        </row>
        <row r="112">
          <cell r="B112" t="str">
            <v>219</v>
          </cell>
          <cell r="C112">
            <v>219</v>
          </cell>
          <cell r="D112" t="str">
            <v>-2.2151156802047, -79.889049472387</v>
          </cell>
          <cell r="E112" t="str">
            <v>Guayaquil</v>
          </cell>
          <cell r="F112" t="str">
            <v>Guayas</v>
          </cell>
        </row>
        <row r="113">
          <cell r="B113" t="str">
            <v>221</v>
          </cell>
          <cell r="C113">
            <v>221</v>
          </cell>
          <cell r="D113" t="str">
            <v>-2.1259835368274, -79.897769377367</v>
          </cell>
          <cell r="E113" t="str">
            <v>Guayaquil</v>
          </cell>
          <cell r="F113" t="str">
            <v>Guayas</v>
          </cell>
        </row>
        <row r="114">
          <cell r="B114" t="str">
            <v>228</v>
          </cell>
          <cell r="C114">
            <v>228</v>
          </cell>
          <cell r="D114" t="str">
            <v>-2.8979883430347, -79.018494097602</v>
          </cell>
          <cell r="E114" t="str">
            <v>Cuenca</v>
          </cell>
          <cell r="F114" t="str">
            <v>Azuay</v>
          </cell>
        </row>
        <row r="115">
          <cell r="B115" t="str">
            <v>233</v>
          </cell>
          <cell r="C115">
            <v>233</v>
          </cell>
          <cell r="D115" t="str">
            <v>-2.2638741159323, -79.896355449995</v>
          </cell>
          <cell r="E115" t="str">
            <v>Guayaquil</v>
          </cell>
          <cell r="F115" t="str">
            <v>Guayas</v>
          </cell>
        </row>
        <row r="116">
          <cell r="B116" t="str">
            <v>238</v>
          </cell>
          <cell r="C116">
            <v>238</v>
          </cell>
          <cell r="D116" t="str">
            <v>-0.29363, -78.478886</v>
          </cell>
          <cell r="E116" t="str">
            <v>Conocoto</v>
          </cell>
          <cell r="F116" t="str">
            <v>Pichincha</v>
          </cell>
        </row>
        <row r="117">
          <cell r="B117" t="str">
            <v>245</v>
          </cell>
          <cell r="C117">
            <v>245</v>
          </cell>
          <cell r="D117" t="str">
            <v>-2.1046187259956, -79.954315185534</v>
          </cell>
          <cell r="E117" t="str">
            <v>Guayaquil</v>
          </cell>
          <cell r="F117" t="str">
            <v>Guayas</v>
          </cell>
        </row>
        <row r="118">
          <cell r="B118" t="str">
            <v>247</v>
          </cell>
          <cell r="C118">
            <v>247</v>
          </cell>
          <cell r="D118" t="str">
            <v>-2.2509256027895, -79.89407117791</v>
          </cell>
          <cell r="E118" t="str">
            <v>Guayaquil</v>
          </cell>
          <cell r="F118" t="str">
            <v>Guayas</v>
          </cell>
        </row>
        <row r="119">
          <cell r="B119" t="str">
            <v>249</v>
          </cell>
          <cell r="C119">
            <v>249</v>
          </cell>
          <cell r="D119" t="str">
            <v>-2.1203334693724, -79.900600195107</v>
          </cell>
          <cell r="E119" t="str">
            <v>Guayaquil</v>
          </cell>
          <cell r="F119" t="str">
            <v>Guayas</v>
          </cell>
        </row>
        <row r="120">
          <cell r="B120" t="str">
            <v>250</v>
          </cell>
          <cell r="C120">
            <v>250</v>
          </cell>
          <cell r="D120" t="str">
            <v>-2.635617, -80.390509</v>
          </cell>
          <cell r="E120" t="str">
            <v>General Villamil Playas</v>
          </cell>
          <cell r="F120" t="str">
            <v>Guayas</v>
          </cell>
        </row>
        <row r="121">
          <cell r="B121" t="str">
            <v>251</v>
          </cell>
          <cell r="C121">
            <v>251</v>
          </cell>
          <cell r="D121" t="str">
            <v>-2.195628, -79.89641</v>
          </cell>
          <cell r="E121" t="str">
            <v>Guayaquil</v>
          </cell>
          <cell r="F121" t="str">
            <v>Guayas</v>
          </cell>
        </row>
        <row r="122">
          <cell r="B122" t="str">
            <v>253</v>
          </cell>
          <cell r="C122">
            <v>253</v>
          </cell>
          <cell r="D122" t="str">
            <v>-0.261019, -78.545967</v>
          </cell>
          <cell r="E122" t="str">
            <v>Quito</v>
          </cell>
          <cell r="F122" t="str">
            <v>Pichincha</v>
          </cell>
        </row>
        <row r="123">
          <cell r="B123" t="str">
            <v>261</v>
          </cell>
          <cell r="C123">
            <v>261</v>
          </cell>
          <cell r="D123" t="str">
            <v>-2.181347, -79.891819</v>
          </cell>
          <cell r="E123" t="str">
            <v>Guayaquil</v>
          </cell>
          <cell r="F123" t="str">
            <v>Guayas</v>
          </cell>
        </row>
        <row r="124">
          <cell r="B124" t="str">
            <v>268</v>
          </cell>
          <cell r="C124">
            <v>268</v>
          </cell>
          <cell r="D124" t="str">
            <v>-2.19427, -79.925333</v>
          </cell>
          <cell r="E124" t="str">
            <v>Guayaquil</v>
          </cell>
          <cell r="F124" t="str">
            <v>Guayas</v>
          </cell>
        </row>
        <row r="125">
          <cell r="B125" t="str">
            <v>274</v>
          </cell>
          <cell r="C125">
            <v>274</v>
          </cell>
          <cell r="D125" t="str">
            <v>-2.197795, -79.933033</v>
          </cell>
          <cell r="E125" t="str">
            <v>Guayaquil</v>
          </cell>
          <cell r="F125" t="str">
            <v>Guayas</v>
          </cell>
        </row>
        <row r="126">
          <cell r="B126" t="str">
            <v>277</v>
          </cell>
          <cell r="C126">
            <v>277</v>
          </cell>
          <cell r="D126" t="str">
            <v>-2.1474749261809, -79.905767072422</v>
          </cell>
          <cell r="E126" t="str">
            <v>Guayaquil</v>
          </cell>
          <cell r="F126" t="str">
            <v>Guayas</v>
          </cell>
        </row>
        <row r="127">
          <cell r="B127" t="str">
            <v>278</v>
          </cell>
          <cell r="C127">
            <v>278</v>
          </cell>
          <cell r="D127" t="str">
            <v>-2.0990640514603, -79.875114552254</v>
          </cell>
          <cell r="E127" t="str">
            <v>Samborondón</v>
          </cell>
          <cell r="F127" t="str">
            <v>Guayas</v>
          </cell>
        </row>
        <row r="128">
          <cell r="B128" t="str">
            <v>280</v>
          </cell>
          <cell r="C128">
            <v>280</v>
          </cell>
          <cell r="D128" t="str">
            <v>-0.198046, -78.439151</v>
          </cell>
          <cell r="E128" t="str">
            <v>Cumbaya</v>
          </cell>
          <cell r="F128" t="str">
            <v>Pichincha</v>
          </cell>
        </row>
        <row r="129">
          <cell r="B129" t="str">
            <v>282</v>
          </cell>
          <cell r="C129">
            <v>282</v>
          </cell>
          <cell r="D129" t="str">
            <v>-0.28519660716465, -78.543643270809</v>
          </cell>
          <cell r="E129" t="str">
            <v>Quito</v>
          </cell>
          <cell r="F129" t="str">
            <v>Pichincha</v>
          </cell>
        </row>
        <row r="130">
          <cell r="B130" t="str">
            <v>283</v>
          </cell>
          <cell r="C130">
            <v>283</v>
          </cell>
          <cell r="D130" t="str">
            <v>-2.1891895705623, -79.944021906746</v>
          </cell>
          <cell r="E130" t="str">
            <v>Guayaquil</v>
          </cell>
          <cell r="F130" t="str">
            <v>Guayas</v>
          </cell>
        </row>
        <row r="131">
          <cell r="B131" t="str">
            <v>284</v>
          </cell>
          <cell r="C131">
            <v>284</v>
          </cell>
          <cell r="D131" t="str">
            <v>-2.2604146309986, -79.896301030306</v>
          </cell>
          <cell r="E131" t="str">
            <v>Guayaquil</v>
          </cell>
          <cell r="F131" t="str">
            <v>Guayas</v>
          </cell>
        </row>
        <row r="132">
          <cell r="B132" t="str">
            <v>291</v>
          </cell>
          <cell r="C132">
            <v>291</v>
          </cell>
          <cell r="D132" t="str">
            <v>-2.15271811535, -79.885611603149</v>
          </cell>
          <cell r="E132" t="str">
            <v>Guayaquil</v>
          </cell>
          <cell r="F132" t="str">
            <v>Guayas</v>
          </cell>
        </row>
        <row r="133">
          <cell r="B133" t="str">
            <v>292</v>
          </cell>
          <cell r="C133">
            <v>292</v>
          </cell>
          <cell r="D133" t="str">
            <v>-1.2567470211308, -78.641881817843</v>
          </cell>
          <cell r="E133" t="str">
            <v>Ambato</v>
          </cell>
          <cell r="F133" t="str">
            <v>Tungurahua</v>
          </cell>
        </row>
        <row r="134">
          <cell r="B134" t="str">
            <v>293</v>
          </cell>
          <cell r="C134">
            <v>293</v>
          </cell>
          <cell r="D134" t="str">
            <v>0.9325269542761, -79.672041012951</v>
          </cell>
          <cell r="E134" t="str">
            <v>Esmeraldas</v>
          </cell>
          <cell r="F134" t="str">
            <v>Esmeraldas</v>
          </cell>
        </row>
        <row r="135">
          <cell r="B135" t="str">
            <v>294</v>
          </cell>
          <cell r="C135">
            <v>294</v>
          </cell>
          <cell r="D135" t="str">
            <v>-2.1297677392416, -79.864119169312</v>
          </cell>
          <cell r="E135" t="str">
            <v>Samborondón</v>
          </cell>
          <cell r="F135" t="str">
            <v>Guayas</v>
          </cell>
        </row>
        <row r="136">
          <cell r="B136" t="str">
            <v>295</v>
          </cell>
          <cell r="C136">
            <v>295</v>
          </cell>
          <cell r="D136" t="str">
            <v>-0.206939, -78.495166</v>
          </cell>
          <cell r="E136" t="str">
            <v>Quito</v>
          </cell>
          <cell r="F136" t="str">
            <v>Pichincha</v>
          </cell>
        </row>
        <row r="137">
          <cell r="B137" t="str">
            <v>296</v>
          </cell>
          <cell r="C137">
            <v>296</v>
          </cell>
          <cell r="D137" t="str">
            <v>-0.999635, -79.467502</v>
          </cell>
          <cell r="E137" t="str">
            <v>Quevedo</v>
          </cell>
          <cell r="F137" t="str">
            <v>Los Ríos</v>
          </cell>
        </row>
        <row r="138">
          <cell r="B138" t="str">
            <v>297</v>
          </cell>
          <cell r="C138">
            <v>297</v>
          </cell>
          <cell r="D138" t="str">
            <v>-2.1927731140308, -79.823755483467</v>
          </cell>
          <cell r="E138" t="str">
            <v>Durán</v>
          </cell>
          <cell r="F138" t="str">
            <v>Guayas</v>
          </cell>
        </row>
        <row r="139">
          <cell r="B139" t="str">
            <v>299</v>
          </cell>
          <cell r="C139">
            <v>299</v>
          </cell>
          <cell r="D139" t="str">
            <v>-2.2794737942448, -79.906965462122</v>
          </cell>
          <cell r="E139" t="str">
            <v>Guayaquil</v>
          </cell>
          <cell r="F139" t="str">
            <v>Guayas</v>
          </cell>
        </row>
        <row r="140">
          <cell r="B140" t="str">
            <v>300</v>
          </cell>
          <cell r="C140">
            <v>300</v>
          </cell>
          <cell r="D140" t="str">
            <v>-2.140356, -79.925519</v>
          </cell>
          <cell r="E140" t="str">
            <v>Guayaquil</v>
          </cell>
          <cell r="F140" t="str">
            <v>Guayas</v>
          </cell>
        </row>
        <row r="141">
          <cell r="B141" t="str">
            <v>301</v>
          </cell>
          <cell r="C141">
            <v>301</v>
          </cell>
          <cell r="D141" t="str">
            <v>-0.94494581786925, -80.73290525893</v>
          </cell>
          <cell r="E141" t="str">
            <v>Manta</v>
          </cell>
          <cell r="F141" t="str">
            <v>Manabí</v>
          </cell>
        </row>
        <row r="142">
          <cell r="B142" t="str">
            <v>302</v>
          </cell>
          <cell r="C142">
            <v>302</v>
          </cell>
          <cell r="D142" t="str">
            <v>-2.0847648662886, -79.920308066305</v>
          </cell>
          <cell r="E142" t="str">
            <v>Guayaquil</v>
          </cell>
          <cell r="F142" t="str">
            <v>Guayas</v>
          </cell>
        </row>
        <row r="143">
          <cell r="B143" t="str">
            <v>312</v>
          </cell>
          <cell r="C143">
            <v>312</v>
          </cell>
          <cell r="D143" t="str">
            <v>-2.1133265276055675, -79.87081606931311</v>
          </cell>
          <cell r="E143" t="str">
            <v>Samborondón</v>
          </cell>
          <cell r="F143" t="str">
            <v>Guayas</v>
          </cell>
        </row>
        <row r="144">
          <cell r="B144" t="str">
            <v>314</v>
          </cell>
          <cell r="C144">
            <v>314</v>
          </cell>
          <cell r="D144" t="str">
            <v>-2.1133265276055675, -79.87081606931311</v>
          </cell>
          <cell r="E144" t="str">
            <v>Samborondón</v>
          </cell>
          <cell r="F144" t="str">
            <v>Guayas</v>
          </cell>
        </row>
        <row r="145">
          <cell r="B145" t="str">
            <v>316</v>
          </cell>
          <cell r="C145">
            <v>316</v>
          </cell>
          <cell r="D145" t="str">
            <v>-2.2130281686453, -79.826093445214</v>
          </cell>
          <cell r="E145" t="str">
            <v>Durán</v>
          </cell>
          <cell r="F145" t="str">
            <v>Guayas</v>
          </cell>
        </row>
        <row r="146">
          <cell r="B146" t="str">
            <v>317</v>
          </cell>
          <cell r="C146">
            <v>317</v>
          </cell>
          <cell r="D146" t="str">
            <v>-0.15907670257508, -78.48330337896</v>
          </cell>
          <cell r="E146" t="str">
            <v>Quito</v>
          </cell>
          <cell r="F146" t="str">
            <v>Pichincha</v>
          </cell>
        </row>
        <row r="147">
          <cell r="B147" t="str">
            <v>321</v>
          </cell>
          <cell r="C147">
            <v>321</v>
          </cell>
          <cell r="D147" t="str">
            <v>-2.155271363251, -79.890638596926</v>
          </cell>
          <cell r="E147" t="str">
            <v>Guayaquil</v>
          </cell>
          <cell r="F147" t="str">
            <v>Guayas</v>
          </cell>
        </row>
        <row r="148">
          <cell r="B148" t="str">
            <v>322</v>
          </cell>
          <cell r="C148">
            <v>322</v>
          </cell>
          <cell r="D148" t="str">
            <v>-2.0928561683107, -79.911859219574</v>
          </cell>
          <cell r="E148" t="str">
            <v>Guayaquil</v>
          </cell>
          <cell r="F148" t="str">
            <v>Guayas</v>
          </cell>
        </row>
        <row r="149">
          <cell r="B149" t="str">
            <v>324</v>
          </cell>
          <cell r="C149">
            <v>324</v>
          </cell>
          <cell r="D149" t="str">
            <v>-2.183994, -79.97691</v>
          </cell>
          <cell r="E149" t="str">
            <v>Guayaquil</v>
          </cell>
          <cell r="F149" t="str">
            <v>Guayas</v>
          </cell>
        </row>
        <row r="150">
          <cell r="B150" t="str">
            <v>325</v>
          </cell>
          <cell r="C150">
            <v>325</v>
          </cell>
          <cell r="D150" t="str">
            <v>-2.183777, -79.98394</v>
          </cell>
          <cell r="E150" t="str">
            <v>Guayaquil</v>
          </cell>
          <cell r="F150" t="str">
            <v>Guayas</v>
          </cell>
        </row>
        <row r="151">
          <cell r="B151" t="str">
            <v>326</v>
          </cell>
          <cell r="C151">
            <v>326</v>
          </cell>
          <cell r="D151" t="str">
            <v>-2.1194514112252, -79.932722559525</v>
          </cell>
          <cell r="E151" t="str">
            <v>Guayaquil</v>
          </cell>
          <cell r="F151" t="str">
            <v>Guayas</v>
          </cell>
        </row>
        <row r="152">
          <cell r="B152" t="str">
            <v>329</v>
          </cell>
          <cell r="C152">
            <v>329</v>
          </cell>
          <cell r="D152" t="str">
            <v>-2.1554236042519, -79.893033267529</v>
          </cell>
          <cell r="E152" t="str">
            <v>Guayaquil</v>
          </cell>
          <cell r="F152" t="str">
            <v>Guayas</v>
          </cell>
        </row>
        <row r="153">
          <cell r="B153" t="str">
            <v>330</v>
          </cell>
          <cell r="C153">
            <v>330</v>
          </cell>
          <cell r="D153" t="str">
            <v>-2.1554236042519, -79.893033267529</v>
          </cell>
          <cell r="E153" t="str">
            <v>Guayaquil</v>
          </cell>
          <cell r="F153" t="str">
            <v>Guayas</v>
          </cell>
        </row>
        <row r="154">
          <cell r="B154" t="str">
            <v>332</v>
          </cell>
          <cell r="C154">
            <v>332</v>
          </cell>
          <cell r="D154" t="str">
            <v>-2.1649928954332, -79.844669602516</v>
          </cell>
          <cell r="E154" t="str">
            <v>Durán</v>
          </cell>
          <cell r="F154" t="str">
            <v>Guayas</v>
          </cell>
        </row>
        <row r="155">
          <cell r="B155" t="str">
            <v>333</v>
          </cell>
          <cell r="C155">
            <v>333</v>
          </cell>
          <cell r="D155" t="str">
            <v>-2.19020536674, -79.94269474107</v>
          </cell>
          <cell r="E155" t="str">
            <v>Guayaquil</v>
          </cell>
          <cell r="F155" t="str">
            <v>Guayas</v>
          </cell>
        </row>
        <row r="156">
          <cell r="B156" t="str">
            <v>334</v>
          </cell>
          <cell r="C156">
            <v>334</v>
          </cell>
          <cell r="D156" t="str">
            <v>-2.128026, -79.892673</v>
          </cell>
          <cell r="E156" t="str">
            <v>Guayaquil</v>
          </cell>
          <cell r="F156" t="str">
            <v>Guayas</v>
          </cell>
        </row>
        <row r="157">
          <cell r="B157" t="str">
            <v>336</v>
          </cell>
          <cell r="C157">
            <v>336</v>
          </cell>
          <cell r="D157" t="str">
            <v>-1.061762367033, -80.458987089008</v>
          </cell>
          <cell r="E157" t="str">
            <v>Portoviejo</v>
          </cell>
          <cell r="F157" t="str">
            <v>Manabí</v>
          </cell>
        </row>
        <row r="158">
          <cell r="B158" t="str">
            <v>339</v>
          </cell>
          <cell r="C158">
            <v>339</v>
          </cell>
          <cell r="D158" t="str">
            <v>-0.198908, -78.436092</v>
          </cell>
          <cell r="E158" t="str">
            <v>Cumbaya</v>
          </cell>
          <cell r="F158" t="str">
            <v>Pichincha</v>
          </cell>
        </row>
        <row r="159">
          <cell r="B159" t="str">
            <v>342</v>
          </cell>
          <cell r="C159">
            <v>342</v>
          </cell>
          <cell r="D159" t="str">
            <v>-2.098861, -79.935445</v>
          </cell>
          <cell r="E159" t="str">
            <v>Guayaquil</v>
          </cell>
          <cell r="F159" t="str">
            <v>Guayas</v>
          </cell>
        </row>
        <row r="160">
          <cell r="B160" t="str">
            <v>346</v>
          </cell>
          <cell r="C160">
            <v>346</v>
          </cell>
          <cell r="D160" t="str">
            <v>-2.132188, -79.908046</v>
          </cell>
          <cell r="E160" t="str">
            <v>Guayaquil</v>
          </cell>
          <cell r="F160" t="str">
            <v>Guayas</v>
          </cell>
        </row>
        <row r="161">
          <cell r="B161" t="str">
            <v>348</v>
          </cell>
          <cell r="C161">
            <v>348</v>
          </cell>
          <cell r="D161" t="str">
            <v>-2.093657, -79.937042</v>
          </cell>
          <cell r="E161" t="str">
            <v>Guayaquil</v>
          </cell>
          <cell r="F161" t="str">
            <v>Guayas</v>
          </cell>
        </row>
        <row r="162">
          <cell r="B162" t="str">
            <v>349</v>
          </cell>
          <cell r="C162">
            <v>349</v>
          </cell>
          <cell r="D162" t="str">
            <v>-2.6429693045424, -80.385091008598</v>
          </cell>
          <cell r="E162" t="str">
            <v>General Villamil Playas</v>
          </cell>
          <cell r="F162" t="str">
            <v>Guayas</v>
          </cell>
        </row>
        <row r="163">
          <cell r="B163" t="str">
            <v>350</v>
          </cell>
          <cell r="C163">
            <v>350</v>
          </cell>
          <cell r="D163" t="str">
            <v>-2.0541479735325, -79.873834894281</v>
          </cell>
          <cell r="E163" t="str">
            <v>La Aurora</v>
          </cell>
          <cell r="F163" t="str">
            <v>Guayas</v>
          </cell>
        </row>
        <row r="164">
          <cell r="B164" t="str">
            <v>351</v>
          </cell>
          <cell r="C164">
            <v>351</v>
          </cell>
          <cell r="D164" t="str">
            <v>-2.1502941296651, -79.906397733186</v>
          </cell>
          <cell r="E164" t="str">
            <v>Guayaquil</v>
          </cell>
          <cell r="F164" t="str">
            <v>Guayas</v>
          </cell>
        </row>
        <row r="165">
          <cell r="B165" t="str">
            <v>352</v>
          </cell>
          <cell r="C165">
            <v>352</v>
          </cell>
          <cell r="D165" t="str">
            <v>-2.1212738859357, -79.899860419643</v>
          </cell>
          <cell r="E165" t="str">
            <v>Guayaquil</v>
          </cell>
          <cell r="F165" t="str">
            <v>Guayas</v>
          </cell>
        </row>
        <row r="166">
          <cell r="B166" t="str">
            <v>353</v>
          </cell>
          <cell r="C166">
            <v>353</v>
          </cell>
          <cell r="D166" t="str">
            <v>-0.206033, -78.487366</v>
          </cell>
          <cell r="E166" t="str">
            <v>Quito</v>
          </cell>
          <cell r="F166" t="str">
            <v>Pichincha</v>
          </cell>
        </row>
        <row r="167">
          <cell r="B167" t="str">
            <v>355</v>
          </cell>
          <cell r="C167">
            <v>355</v>
          </cell>
          <cell r="D167" t="str">
            <v>-2.181969, -79.995842</v>
          </cell>
          <cell r="E167" t="str">
            <v>Guayaquil</v>
          </cell>
          <cell r="F167" t="str">
            <v>Guayas</v>
          </cell>
        </row>
        <row r="168">
          <cell r="B168" t="str">
            <v>356</v>
          </cell>
          <cell r="C168">
            <v>356</v>
          </cell>
          <cell r="D168" t="str">
            <v>-1.0423740464626, -79.637542364418</v>
          </cell>
          <cell r="E168" t="str">
            <v>El Empalme</v>
          </cell>
          <cell r="F168" t="str">
            <v>Guayas</v>
          </cell>
        </row>
        <row r="169">
          <cell r="B169" t="str">
            <v>360</v>
          </cell>
          <cell r="C169">
            <v>360</v>
          </cell>
          <cell r="D169" t="str">
            <v>-2.128853, -79.591199</v>
          </cell>
          <cell r="E169" t="str">
            <v>Milagro</v>
          </cell>
          <cell r="F169" t="str">
            <v>Guayas</v>
          </cell>
        </row>
        <row r="170">
          <cell r="B170" t="str">
            <v>361</v>
          </cell>
          <cell r="C170">
            <v>361</v>
          </cell>
          <cell r="D170" t="str">
            <v>-0.275437, -78.512265</v>
          </cell>
          <cell r="E170" t="str">
            <v>Quito</v>
          </cell>
          <cell r="F170" t="str">
            <v>Pichincha</v>
          </cell>
        </row>
        <row r="171">
          <cell r="B171" t="str">
            <v>363</v>
          </cell>
          <cell r="C171">
            <v>363</v>
          </cell>
          <cell r="D171" t="str">
            <v>-2.1426674740639, -79.879234608459</v>
          </cell>
          <cell r="E171" t="str">
            <v>Guayaquil</v>
          </cell>
          <cell r="F171" t="str">
            <v>Guayas</v>
          </cell>
        </row>
        <row r="172">
          <cell r="B172" t="str">
            <v>367</v>
          </cell>
          <cell r="C172">
            <v>367</v>
          </cell>
          <cell r="D172" t="str">
            <v>-2.10128425712574, -79.9365974717109</v>
          </cell>
          <cell r="E172" t="str">
            <v>Guayaquil</v>
          </cell>
          <cell r="F172" t="str">
            <v>Guayas</v>
          </cell>
        </row>
        <row r="173">
          <cell r="B173" t="str">
            <v>368</v>
          </cell>
          <cell r="C173">
            <v>368</v>
          </cell>
          <cell r="D173" t="str">
            <v>-2.10706878707602, -79.9408243128599</v>
          </cell>
          <cell r="E173" t="str">
            <v>Guayaquil</v>
          </cell>
          <cell r="F173" t="str">
            <v>Guayas</v>
          </cell>
        </row>
        <row r="174">
          <cell r="B174" t="str">
            <v>369</v>
          </cell>
          <cell r="C174">
            <v>369</v>
          </cell>
          <cell r="D174" t="str">
            <v>-2.2212702792257, -80.908197224537</v>
          </cell>
          <cell r="E174" t="str">
            <v>La Libertad</v>
          </cell>
          <cell r="F174" t="str">
            <v>Santa Elena</v>
          </cell>
        </row>
        <row r="175">
          <cell r="B175" t="str">
            <v>370</v>
          </cell>
          <cell r="C175">
            <v>370</v>
          </cell>
          <cell r="D175" t="str">
            <v>-2.0525768048808, -79.880695271164</v>
          </cell>
          <cell r="E175" t="str">
            <v>La Aurora</v>
          </cell>
          <cell r="F175" t="str">
            <v>Guayas</v>
          </cell>
        </row>
        <row r="176">
          <cell r="B176" t="str">
            <v>371</v>
          </cell>
          <cell r="C176">
            <v>371</v>
          </cell>
          <cell r="D176" t="str">
            <v>-2.1822450451899, -79.88976236017</v>
          </cell>
          <cell r="E176" t="str">
            <v>Guayaquil</v>
          </cell>
          <cell r="F176" t="str">
            <v>Guayas</v>
          </cell>
        </row>
        <row r="177">
          <cell r="B177" t="str">
            <v>372</v>
          </cell>
          <cell r="C177">
            <v>372</v>
          </cell>
          <cell r="D177" t="str">
            <v>-2.202532, -79.892351</v>
          </cell>
          <cell r="E177" t="str">
            <v>Guayaquil</v>
          </cell>
          <cell r="F177" t="str">
            <v>Guayas</v>
          </cell>
        </row>
        <row r="178">
          <cell r="B178" t="str">
            <v>373</v>
          </cell>
          <cell r="C178">
            <v>373</v>
          </cell>
          <cell r="D178" t="str">
            <v>-1.0240457901493, -79.465783077013</v>
          </cell>
          <cell r="E178" t="str">
            <v>Quevedo</v>
          </cell>
          <cell r="F178" t="str">
            <v>Los Ríos</v>
          </cell>
        </row>
        <row r="179">
          <cell r="B179" t="str">
            <v>375</v>
          </cell>
          <cell r="C179">
            <v>375</v>
          </cell>
          <cell r="D179" t="str">
            <v>-2.229148, -79.898457</v>
          </cell>
          <cell r="E179" t="str">
            <v>Guayaquil</v>
          </cell>
          <cell r="F179" t="str">
            <v>Guayas</v>
          </cell>
        </row>
        <row r="180">
          <cell r="B180" t="str">
            <v>377</v>
          </cell>
          <cell r="C180">
            <v>377</v>
          </cell>
          <cell r="D180" t="str">
            <v>-0.25177914970625, -79.164858575815</v>
          </cell>
          <cell r="E180" t="str">
            <v>Santo Domingo de los Tsachilas</v>
          </cell>
          <cell r="F180" t="str">
            <v>Santo Domingo de los Tsáchilas</v>
          </cell>
        </row>
        <row r="181">
          <cell r="B181" t="str">
            <v>379</v>
          </cell>
          <cell r="C181">
            <v>379</v>
          </cell>
          <cell r="D181" t="str">
            <v>-2.0280668336534, -79.912529347221</v>
          </cell>
          <cell r="E181" t="str">
            <v>La Aurora</v>
          </cell>
          <cell r="F181" t="str">
            <v>Guayas</v>
          </cell>
        </row>
        <row r="182">
          <cell r="B182" t="str">
            <v>380</v>
          </cell>
          <cell r="C182">
            <v>380</v>
          </cell>
          <cell r="D182" t="str">
            <v>-0.16759569524283, -78.489494004353</v>
          </cell>
          <cell r="E182" t="str">
            <v>Quito</v>
          </cell>
          <cell r="F182" t="str">
            <v>Pichincha</v>
          </cell>
        </row>
        <row r="183">
          <cell r="B183" t="str">
            <v>383</v>
          </cell>
          <cell r="C183">
            <v>383</v>
          </cell>
          <cell r="D183" t="str">
            <v>-2.1093123468678, -79.948822486491</v>
          </cell>
          <cell r="E183" t="str">
            <v>Guayaquil</v>
          </cell>
          <cell r="F183" t="str">
            <v>Guayas</v>
          </cell>
        </row>
        <row r="184">
          <cell r="B184" t="str">
            <v>385</v>
          </cell>
          <cell r="C184">
            <v>385</v>
          </cell>
          <cell r="D184" t="str">
            <v>-0.27234110224082, -79.462855468174</v>
          </cell>
          <cell r="E184" t="str">
            <v>El Carmen</v>
          </cell>
          <cell r="F184" t="str">
            <v>Manabí</v>
          </cell>
        </row>
        <row r="185">
          <cell r="B185" t="str">
            <v>386</v>
          </cell>
          <cell r="C185">
            <v>386</v>
          </cell>
          <cell r="D185" t="str">
            <v>-2.1426674740639, -79.879234608459</v>
          </cell>
          <cell r="E185" t="str">
            <v>Guayaquil</v>
          </cell>
          <cell r="F185" t="str">
            <v>Guayas</v>
          </cell>
        </row>
        <row r="186">
          <cell r="B186" t="str">
            <v>387</v>
          </cell>
          <cell r="C186">
            <v>387</v>
          </cell>
          <cell r="D186" t="str">
            <v>-2.4231470858939, -79.343161462021</v>
          </cell>
          <cell r="E186" t="str">
            <v>La Troncal</v>
          </cell>
          <cell r="F186" t="str">
            <v>Cañar</v>
          </cell>
        </row>
        <row r="187">
          <cell r="B187" t="str">
            <v>388</v>
          </cell>
          <cell r="C187">
            <v>388</v>
          </cell>
          <cell r="D187" t="str">
            <v>-2.2113564751355, -80.868662071398</v>
          </cell>
          <cell r="E187" t="str">
            <v>Ballenita</v>
          </cell>
          <cell r="F187" t="str">
            <v>Santa Elena</v>
          </cell>
        </row>
        <row r="188">
          <cell r="B188" t="str">
            <v>389</v>
          </cell>
          <cell r="C188">
            <v>389</v>
          </cell>
          <cell r="D188" t="str">
            <v>-2.261008, -79.878241</v>
          </cell>
          <cell r="E188" t="str">
            <v>Guayaquil</v>
          </cell>
          <cell r="F188" t="str">
            <v>Guayas</v>
          </cell>
        </row>
        <row r="189">
          <cell r="B189" t="str">
            <v>391</v>
          </cell>
          <cell r="C189">
            <v>391</v>
          </cell>
          <cell r="D189" t="str">
            <v>-0.24890120654703, -79.162049904249</v>
          </cell>
          <cell r="E189" t="str">
            <v>Santo Domingo de los Tsachilas</v>
          </cell>
          <cell r="F189" t="str">
            <v>Santo Domingo de los Tsáchilas</v>
          </cell>
        </row>
        <row r="190">
          <cell r="B190" t="str">
            <v>392</v>
          </cell>
          <cell r="C190">
            <v>392</v>
          </cell>
          <cell r="D190" t="str">
            <v>-1.8131077554945, -79.545317172494</v>
          </cell>
          <cell r="E190" t="str">
            <v>Babahoyo</v>
          </cell>
          <cell r="F190" t="str">
            <v>Los Ríos</v>
          </cell>
        </row>
        <row r="191">
          <cell r="B191" t="str">
            <v>393</v>
          </cell>
          <cell r="C191">
            <v>393</v>
          </cell>
          <cell r="D191" t="str">
            <v>-2.7103348371123, -80.245090980966</v>
          </cell>
          <cell r="E191" t="str">
            <v>Posorja</v>
          </cell>
          <cell r="F191" t="str">
            <v>Guayas</v>
          </cell>
        </row>
        <row r="192">
          <cell r="B192" t="str">
            <v>394</v>
          </cell>
          <cell r="C192">
            <v>394</v>
          </cell>
          <cell r="D192" t="str">
            <v>-2.128815, -79.93605</v>
          </cell>
          <cell r="E192" t="str">
            <v>Guayaquil</v>
          </cell>
          <cell r="F192" t="str">
            <v>Guayas</v>
          </cell>
        </row>
        <row r="193">
          <cell r="B193" t="str">
            <v>395</v>
          </cell>
          <cell r="C193">
            <v>395</v>
          </cell>
          <cell r="D193" t="str">
            <v>-2.110533, -79.937646</v>
          </cell>
          <cell r="E193" t="str">
            <v>Guayaquil</v>
          </cell>
          <cell r="F193" t="str">
            <v>Guayas</v>
          </cell>
        </row>
        <row r="194">
          <cell r="B194" t="str">
            <v>396</v>
          </cell>
          <cell r="C194">
            <v>396</v>
          </cell>
          <cell r="D194" t="str">
            <v>-0.108239, -78.446055</v>
          </cell>
          <cell r="E194" t="str">
            <v>Carapungo</v>
          </cell>
          <cell r="F194" t="str">
            <v>Pichincha</v>
          </cell>
        </row>
        <row r="195">
          <cell r="B195" t="str">
            <v>397</v>
          </cell>
          <cell r="C195">
            <v>397</v>
          </cell>
          <cell r="D195" t="str">
            <v>-0.2571447525549416, -79.20396733594352</v>
          </cell>
          <cell r="E195" t="str">
            <v>Santo Domingo de los Tsachilas</v>
          </cell>
          <cell r="F195" t="str">
            <v>Santo Domingo de los Tsáchilas</v>
          </cell>
        </row>
        <row r="196">
          <cell r="B196" t="str">
            <v>398</v>
          </cell>
          <cell r="C196">
            <v>398</v>
          </cell>
          <cell r="D196" t="str">
            <v>-2.142993, -79.916595</v>
          </cell>
          <cell r="E196" t="str">
            <v>Guayaquil</v>
          </cell>
          <cell r="F196" t="str">
            <v>Guayas</v>
          </cell>
        </row>
        <row r="197">
          <cell r="B197" t="str">
            <v>399</v>
          </cell>
          <cell r="C197">
            <v>399</v>
          </cell>
          <cell r="D197" t="str">
            <v>-0.15343833908749, -78.478335089008</v>
          </cell>
          <cell r="E197" t="str">
            <v>Quito</v>
          </cell>
          <cell r="F197" t="str">
            <v>Pichincha</v>
          </cell>
        </row>
        <row r="198">
          <cell r="B198" t="str">
            <v>400</v>
          </cell>
          <cell r="C198">
            <v>400</v>
          </cell>
          <cell r="D198" t="str">
            <v>-1.04570480809368, -80.6584036744766</v>
          </cell>
          <cell r="E198" t="str">
            <v>Montecristi</v>
          </cell>
          <cell r="F198" t="str">
            <v>Manabí</v>
          </cell>
        </row>
        <row r="199">
          <cell r="B199" t="str">
            <v>402</v>
          </cell>
          <cell r="C199">
            <v>402</v>
          </cell>
          <cell r="D199" t="str">
            <v>-1.073357, -80.444453</v>
          </cell>
          <cell r="E199" t="str">
            <v>Portoviejo</v>
          </cell>
          <cell r="F199" t="str">
            <v>Manabí</v>
          </cell>
        </row>
        <row r="200">
          <cell r="B200" t="str">
            <v>403</v>
          </cell>
          <cell r="C200">
            <v>403</v>
          </cell>
          <cell r="D200" t="str">
            <v>-2.1687090961262, -79.839177669975</v>
          </cell>
          <cell r="E200" t="str">
            <v>Durán</v>
          </cell>
          <cell r="F200" t="str">
            <v>Guayas</v>
          </cell>
        </row>
        <row r="201">
          <cell r="B201" t="str">
            <v>404</v>
          </cell>
          <cell r="C201">
            <v>404</v>
          </cell>
          <cell r="D201" t="str">
            <v>-2.0737460686847, -79.94009852982</v>
          </cell>
          <cell r="E201" t="str">
            <v>Guayaquil</v>
          </cell>
          <cell r="F201" t="str">
            <v>Guayas</v>
          </cell>
        </row>
        <row r="202">
          <cell r="B202" t="str">
            <v>406</v>
          </cell>
          <cell r="C202">
            <v>406</v>
          </cell>
          <cell r="D202" t="str">
            <v>-0.1031771523456, -78.424161818133</v>
          </cell>
          <cell r="E202" t="str">
            <v>Calderón</v>
          </cell>
          <cell r="F202" t="str">
            <v>Pichincha</v>
          </cell>
        </row>
        <row r="203">
          <cell r="B203" t="str">
            <v>407</v>
          </cell>
          <cell r="C203">
            <v>407</v>
          </cell>
          <cell r="D203" t="str">
            <v>-2.165391, -79.923584</v>
          </cell>
          <cell r="E203" t="str">
            <v>Guayaquil</v>
          </cell>
          <cell r="F203" t="str">
            <v>Guayas</v>
          </cell>
        </row>
        <row r="204">
          <cell r="B204" t="str">
            <v>408</v>
          </cell>
          <cell r="C204">
            <v>408</v>
          </cell>
          <cell r="D204" t="str">
            <v>-2.190161, -79.886549</v>
          </cell>
          <cell r="E204" t="str">
            <v>Guayaquil</v>
          </cell>
          <cell r="F204" t="str">
            <v>Guayas</v>
          </cell>
        </row>
        <row r="205">
          <cell r="B205" t="str">
            <v>409</v>
          </cell>
          <cell r="C205">
            <v>409</v>
          </cell>
          <cell r="D205" t="str">
            <v>-2.0911584740818, -79.922668953373</v>
          </cell>
          <cell r="E205" t="str">
            <v>Guayaquil</v>
          </cell>
          <cell r="F205" t="str">
            <v>Guayas</v>
          </cell>
        </row>
        <row r="206">
          <cell r="B206" t="str">
            <v>411</v>
          </cell>
          <cell r="C206">
            <v>411</v>
          </cell>
          <cell r="D206" t="str">
            <v>-0.941448, -79.227945</v>
          </cell>
          <cell r="E206" t="str">
            <v>La Maná</v>
          </cell>
          <cell r="F206" t="str">
            <v>Cotopaxi</v>
          </cell>
        </row>
        <row r="207">
          <cell r="B207" t="str">
            <v>413</v>
          </cell>
          <cell r="C207">
            <v>413</v>
          </cell>
          <cell r="D207" t="str">
            <v>-2.178273190523, -79.884292520168</v>
          </cell>
          <cell r="E207" t="str">
            <v>Guayaquil</v>
          </cell>
          <cell r="F207" t="str">
            <v>Guayas</v>
          </cell>
        </row>
        <row r="208">
          <cell r="B208" t="str">
            <v>414</v>
          </cell>
          <cell r="C208">
            <v>414</v>
          </cell>
          <cell r="D208" t="str">
            <v>-2.1800670462068, -79.944811350052</v>
          </cell>
          <cell r="E208" t="str">
            <v>Guayaquil</v>
          </cell>
          <cell r="F208" t="str">
            <v>Guayas</v>
          </cell>
        </row>
        <row r="209">
          <cell r="B209" t="str">
            <v>415</v>
          </cell>
          <cell r="C209">
            <v>415</v>
          </cell>
          <cell r="D209" t="str">
            <v>-2.1800670462068, -79.944811350052</v>
          </cell>
          <cell r="E209" t="str">
            <v>Guayaquil</v>
          </cell>
          <cell r="F209" t="str">
            <v>Guayas</v>
          </cell>
        </row>
        <row r="210">
          <cell r="B210" t="str">
            <v>417</v>
          </cell>
          <cell r="C210">
            <v>417</v>
          </cell>
          <cell r="D210" t="str">
            <v>-2.1416837492179, -79.86476890903</v>
          </cell>
          <cell r="E210" t="str">
            <v>Samborondón</v>
          </cell>
          <cell r="F210" t="str">
            <v>Guayas</v>
          </cell>
        </row>
        <row r="211">
          <cell r="B211" t="str">
            <v>418</v>
          </cell>
          <cell r="C211">
            <v>418</v>
          </cell>
          <cell r="D211" t="str">
            <v>-2.261132, -79.878463</v>
          </cell>
          <cell r="E211" t="str">
            <v>Guayaquil</v>
          </cell>
          <cell r="F211" t="str">
            <v>Guayas</v>
          </cell>
        </row>
        <row r="212">
          <cell r="B212" t="str">
            <v>419</v>
          </cell>
          <cell r="C212">
            <v>419</v>
          </cell>
          <cell r="D212" t="str">
            <v>-2.192464, -79.879536</v>
          </cell>
          <cell r="E212" t="str">
            <v>Guayaquil</v>
          </cell>
          <cell r="F212" t="str">
            <v>Guayas</v>
          </cell>
        </row>
        <row r="213">
          <cell r="B213" t="str">
            <v>421</v>
          </cell>
          <cell r="C213">
            <v>421</v>
          </cell>
          <cell r="D213" t="str">
            <v>-2.1430297046844, -79.884464623348</v>
          </cell>
          <cell r="E213" t="str">
            <v>Guayaquil</v>
          </cell>
          <cell r="F213" t="str">
            <v>Guayas</v>
          </cell>
        </row>
        <row r="214">
          <cell r="B214" t="str">
            <v>422</v>
          </cell>
          <cell r="C214">
            <v>422</v>
          </cell>
          <cell r="D214" t="str">
            <v>-0.97913, -79.440004</v>
          </cell>
          <cell r="E214" t="str">
            <v>Quevedo</v>
          </cell>
          <cell r="F214" t="str">
            <v>Los Ríos</v>
          </cell>
        </row>
        <row r="215">
          <cell r="B215" t="str">
            <v>423</v>
          </cell>
          <cell r="C215">
            <v>423</v>
          </cell>
          <cell r="D215" t="str">
            <v>-0.18241667800904, -78.478438327572</v>
          </cell>
          <cell r="E215" t="str">
            <v>Quito</v>
          </cell>
          <cell r="F215" t="str">
            <v>Pichincha</v>
          </cell>
        </row>
        <row r="216">
          <cell r="B216" t="str">
            <v>424</v>
          </cell>
          <cell r="C216">
            <v>424</v>
          </cell>
          <cell r="D216" t="str">
            <v>-0.105223, -78.500345</v>
          </cell>
          <cell r="E216" t="str">
            <v>El Condado</v>
          </cell>
          <cell r="F216" t="str">
            <v>Pichincha</v>
          </cell>
        </row>
        <row r="217">
          <cell r="B217" t="str">
            <v>426</v>
          </cell>
          <cell r="C217">
            <v>426</v>
          </cell>
          <cell r="D217" t="str">
            <v>-2.0552497307291, -79.875205655434</v>
          </cell>
          <cell r="E217" t="str">
            <v>La Aurora</v>
          </cell>
          <cell r="F217" t="str">
            <v>Guayas</v>
          </cell>
        </row>
        <row r="218">
          <cell r="B218" t="str">
            <v>427</v>
          </cell>
          <cell r="C218">
            <v>427</v>
          </cell>
          <cell r="D218" t="str">
            <v>-2.0652925839496, -79.924221892204</v>
          </cell>
          <cell r="E218" t="str">
            <v>Guayaquil</v>
          </cell>
          <cell r="F218" t="str">
            <v>Guayas</v>
          </cell>
        </row>
        <row r="219">
          <cell r="B219" t="str">
            <v>429</v>
          </cell>
          <cell r="C219">
            <v>429</v>
          </cell>
          <cell r="D219" t="str">
            <v>-2.0787363639702, -79.896649847885</v>
          </cell>
          <cell r="E219" t="str">
            <v>Guayaquil</v>
          </cell>
          <cell r="F219" t="str">
            <v>Guayas</v>
          </cell>
        </row>
        <row r="220">
          <cell r="B220" t="str">
            <v>431</v>
          </cell>
          <cell r="C220">
            <v>431</v>
          </cell>
          <cell r="D220" t="str">
            <v>-2.0491, -79.889421</v>
          </cell>
          <cell r="E220" t="str">
            <v>La Aurora</v>
          </cell>
          <cell r="F220" t="str">
            <v>Guayas</v>
          </cell>
        </row>
        <row r="221">
          <cell r="B221" t="str">
            <v>432</v>
          </cell>
          <cell r="C221">
            <v>432</v>
          </cell>
          <cell r="D221" t="str">
            <v>-2.1093123468678, -79.948822486491</v>
          </cell>
          <cell r="E221" t="str">
            <v>Guayaquil</v>
          </cell>
          <cell r="F221" t="str">
            <v>Guayas</v>
          </cell>
        </row>
        <row r="222">
          <cell r="B222" t="str">
            <v>434</v>
          </cell>
          <cell r="C222">
            <v>434</v>
          </cell>
          <cell r="D222" t="str">
            <v>-0.28519660716465, -78.543643270809</v>
          </cell>
          <cell r="E222" t="str">
            <v>Quito</v>
          </cell>
          <cell r="F222" t="str">
            <v>Pichincha</v>
          </cell>
        </row>
        <row r="223">
          <cell r="B223" t="str">
            <v>435</v>
          </cell>
          <cell r="C223">
            <v>435</v>
          </cell>
          <cell r="D223" t="str">
            <v>-1.051107, -80.453972</v>
          </cell>
          <cell r="E223" t="str">
            <v>Portoviejo</v>
          </cell>
          <cell r="F223" t="str">
            <v>Manabí</v>
          </cell>
        </row>
        <row r="224">
          <cell r="B224" t="str">
            <v>436</v>
          </cell>
          <cell r="C224">
            <v>436</v>
          </cell>
          <cell r="D224" t="str">
            <v>-2.0724623661049, -79.872272470621</v>
          </cell>
          <cell r="E224" t="str">
            <v>Samborondón</v>
          </cell>
          <cell r="F224" t="str">
            <v>Guayas</v>
          </cell>
        </row>
        <row r="225">
          <cell r="B225" t="str">
            <v>437</v>
          </cell>
          <cell r="C225">
            <v>437</v>
          </cell>
          <cell r="D225" t="str">
            <v>-0.31099358609434, -78.56456796898</v>
          </cell>
          <cell r="E225" t="str">
            <v>Quito</v>
          </cell>
          <cell r="F225" t="str">
            <v>Pichincha</v>
          </cell>
        </row>
        <row r="226">
          <cell r="B226" t="str">
            <v>439</v>
          </cell>
          <cell r="C226">
            <v>439</v>
          </cell>
          <cell r="D226" t="str">
            <v>-2.8847833115177, -79.005802007271</v>
          </cell>
          <cell r="E226" t="str">
            <v>Cuenca</v>
          </cell>
          <cell r="F226" t="str">
            <v>Azuay</v>
          </cell>
        </row>
        <row r="227">
          <cell r="B227" t="str">
            <v>443</v>
          </cell>
          <cell r="C227">
            <v>443</v>
          </cell>
          <cell r="D227" t="str">
            <v>-2.1321674386286, -79.863631417214</v>
          </cell>
          <cell r="E227" t="str">
            <v>Samborondón</v>
          </cell>
          <cell r="F227" t="str">
            <v>Guayas</v>
          </cell>
        </row>
        <row r="228">
          <cell r="B228" t="str">
            <v>444</v>
          </cell>
          <cell r="C228">
            <v>444</v>
          </cell>
          <cell r="D228" t="str">
            <v>-2.1069115318805385, -79.93182388127495</v>
          </cell>
          <cell r="E228" t="str">
            <v>Guayaquil</v>
          </cell>
          <cell r="F228" t="str">
            <v>Guayas</v>
          </cell>
        </row>
        <row r="229">
          <cell r="B229" t="str">
            <v>445</v>
          </cell>
          <cell r="C229">
            <v>445</v>
          </cell>
          <cell r="D229" t="str">
            <v>-2.1331494933718, -79.865817704824</v>
          </cell>
          <cell r="E229" t="str">
            <v>Samborondón</v>
          </cell>
          <cell r="F229" t="str">
            <v>Guayas</v>
          </cell>
        </row>
        <row r="230">
          <cell r="B230" t="str">
            <v>446</v>
          </cell>
          <cell r="C230">
            <v>446</v>
          </cell>
          <cell r="D230" t="str">
            <v>-1.854623614441, -79.975836109332</v>
          </cell>
          <cell r="E230" t="str">
            <v>Daule</v>
          </cell>
          <cell r="F230" t="str">
            <v>Guayas</v>
          </cell>
        </row>
        <row r="231">
          <cell r="B231" t="str">
            <v>447</v>
          </cell>
          <cell r="C231">
            <v>447</v>
          </cell>
          <cell r="D231" t="str">
            <v>-3.2791119581546, -79.933491846033</v>
          </cell>
          <cell r="E231" t="str">
            <v>Machala</v>
          </cell>
          <cell r="F231" t="str">
            <v>El Oro</v>
          </cell>
        </row>
        <row r="232">
          <cell r="B232" t="str">
            <v>448</v>
          </cell>
          <cell r="C232">
            <v>448</v>
          </cell>
          <cell r="D232" t="str">
            <v>-2.130234, -79.932355</v>
          </cell>
          <cell r="E232" t="str">
            <v>Guayaquil</v>
          </cell>
          <cell r="F232" t="str">
            <v>Guayas</v>
          </cell>
        </row>
        <row r="233">
          <cell r="B233" t="str">
            <v>449</v>
          </cell>
          <cell r="C233">
            <v>449</v>
          </cell>
          <cell r="D233" t="str">
            <v>-2.191494, -79.882836</v>
          </cell>
          <cell r="E233" t="str">
            <v>Guayaquil</v>
          </cell>
          <cell r="F233" t="str">
            <v>Guayas</v>
          </cell>
        </row>
        <row r="234">
          <cell r="B234" t="str">
            <v>450</v>
          </cell>
          <cell r="C234">
            <v>450</v>
          </cell>
          <cell r="D234" t="str">
            <v>-2.17319, -79.89861</v>
          </cell>
          <cell r="E234" t="str">
            <v>Guayaquil</v>
          </cell>
          <cell r="F234" t="str">
            <v>Guayas</v>
          </cell>
        </row>
        <row r="235">
          <cell r="B235" t="str">
            <v>451</v>
          </cell>
          <cell r="C235">
            <v>451</v>
          </cell>
          <cell r="D235" t="str">
            <v>-0.054045, -78.455478</v>
          </cell>
          <cell r="E235" t="str">
            <v>Distrito Metropolitano de Quito</v>
          </cell>
          <cell r="F235" t="str">
            <v>Pichincha</v>
          </cell>
        </row>
        <row r="236">
          <cell r="B236" t="str">
            <v>453</v>
          </cell>
          <cell r="C236">
            <v>453</v>
          </cell>
          <cell r="D236" t="str">
            <v>-2.1595117314442, -79.888602073</v>
          </cell>
          <cell r="E236" t="str">
            <v>Guayaquil</v>
          </cell>
          <cell r="F236" t="str">
            <v>Guayas</v>
          </cell>
        </row>
        <row r="237">
          <cell r="B237" t="str">
            <v>454</v>
          </cell>
          <cell r="C237">
            <v>454</v>
          </cell>
          <cell r="D237" t="str">
            <v>-1.006304, -80.685982</v>
          </cell>
          <cell r="E237" t="str">
            <v>Montecristi</v>
          </cell>
          <cell r="F237" t="str">
            <v>Manabí</v>
          </cell>
        </row>
        <row r="238">
          <cell r="B238" t="str">
            <v>455</v>
          </cell>
          <cell r="C238">
            <v>455</v>
          </cell>
          <cell r="D238" t="str">
            <v>-2.0693902345394, -79.898141321426</v>
          </cell>
          <cell r="E238" t="str">
            <v>Guayaquil</v>
          </cell>
          <cell r="F238" t="str">
            <v>Guayas</v>
          </cell>
        </row>
        <row r="239">
          <cell r="B239" t="str">
            <v>456</v>
          </cell>
          <cell r="C239">
            <v>456</v>
          </cell>
          <cell r="D239" t="str">
            <v>-2.0380955047026, -79.945506099198</v>
          </cell>
          <cell r="E239" t="str">
            <v>Guayaquil</v>
          </cell>
          <cell r="F239" t="str">
            <v>Guayas</v>
          </cell>
        </row>
        <row r="240">
          <cell r="B240" t="str">
            <v>457</v>
          </cell>
          <cell r="C240">
            <v>457</v>
          </cell>
          <cell r="D240" t="str">
            <v>-2.0513138633366, -79.901644373016</v>
          </cell>
          <cell r="E240" t="str">
            <v>La Aurora</v>
          </cell>
          <cell r="F240" t="str">
            <v>Guayas</v>
          </cell>
        </row>
        <row r="241">
          <cell r="B241" t="str">
            <v>458</v>
          </cell>
          <cell r="C241">
            <v>458</v>
          </cell>
          <cell r="D241" t="str">
            <v>-2.144117, -79.89329</v>
          </cell>
          <cell r="E241" t="str">
            <v>Guayaquil</v>
          </cell>
          <cell r="F241" t="str">
            <v>Guayas</v>
          </cell>
        </row>
        <row r="242">
          <cell r="B242" t="str">
            <v>460</v>
          </cell>
          <cell r="C242">
            <v>460</v>
          </cell>
          <cell r="D242" t="str">
            <v>-0.11434223715214, -78.495563631336</v>
          </cell>
          <cell r="E242" t="str">
            <v>El Condado</v>
          </cell>
          <cell r="F242" t="str">
            <v>Pichincha</v>
          </cell>
        </row>
        <row r="243">
          <cell r="B243" t="str">
            <v>461</v>
          </cell>
          <cell r="C243">
            <v>461</v>
          </cell>
          <cell r="D243" t="str">
            <v>-2.140432, -79.864389</v>
          </cell>
          <cell r="E243" t="str">
            <v>Samborondón</v>
          </cell>
          <cell r="F243" t="str">
            <v>Guayas</v>
          </cell>
        </row>
        <row r="244">
          <cell r="B244" t="str">
            <v>463</v>
          </cell>
          <cell r="C244">
            <v>463</v>
          </cell>
          <cell r="D244" t="str">
            <v>-0.10817009322543, -78.458035635582</v>
          </cell>
          <cell r="E244" t="str">
            <v>Carapungo</v>
          </cell>
          <cell r="F244" t="str">
            <v>Pichincha</v>
          </cell>
        </row>
        <row r="245">
          <cell r="B245" t="str">
            <v>464</v>
          </cell>
          <cell r="C245">
            <v>464</v>
          </cell>
          <cell r="D245" t="str">
            <v>-2.2138081853517, -79.824929546887</v>
          </cell>
          <cell r="E245" t="str">
            <v>Durán</v>
          </cell>
          <cell r="F245" t="str">
            <v>Guayas</v>
          </cell>
        </row>
        <row r="246">
          <cell r="B246" t="str">
            <v>465</v>
          </cell>
          <cell r="C246">
            <v>465</v>
          </cell>
          <cell r="D246" t="str">
            <v>-2.0535766783513, -79.916158661377</v>
          </cell>
          <cell r="E246" t="str">
            <v>La Aurora</v>
          </cell>
          <cell r="F246" t="str">
            <v>Guayas</v>
          </cell>
        </row>
        <row r="247">
          <cell r="B247" t="str">
            <v>468</v>
          </cell>
          <cell r="C247">
            <v>468</v>
          </cell>
          <cell r="D247" t="str">
            <v>-0.28617413958005, -78.537414868717</v>
          </cell>
          <cell r="E247" t="str">
            <v>Quito</v>
          </cell>
          <cell r="F247" t="str">
            <v>Pichincha</v>
          </cell>
        </row>
        <row r="248">
          <cell r="B248" t="str">
            <v>470</v>
          </cell>
          <cell r="C248">
            <v>470</v>
          </cell>
          <cell r="D248" t="str">
            <v>-2.1477533987468, -79.899858642948</v>
          </cell>
          <cell r="E248" t="str">
            <v>Guayaquil</v>
          </cell>
          <cell r="F248" t="str">
            <v>Guayas</v>
          </cell>
        </row>
        <row r="249">
          <cell r="B249" t="str">
            <v>472</v>
          </cell>
          <cell r="C249">
            <v>472</v>
          </cell>
          <cell r="D249" t="str">
            <v>-2.1685807956796, -79.879049642853</v>
          </cell>
          <cell r="E249" t="str">
            <v>Guayaquil</v>
          </cell>
          <cell r="F249" t="str">
            <v>Guayas</v>
          </cell>
        </row>
        <row r="250">
          <cell r="B250" t="str">
            <v>473</v>
          </cell>
          <cell r="C250">
            <v>473</v>
          </cell>
          <cell r="D250" t="str">
            <v>-2.145086745704, -79.912649527439</v>
          </cell>
          <cell r="E250" t="str">
            <v>Guayaquil</v>
          </cell>
          <cell r="F250" t="str">
            <v>Guayas</v>
          </cell>
        </row>
        <row r="251">
          <cell r="B251" t="str">
            <v>474</v>
          </cell>
          <cell r="C251">
            <v>474</v>
          </cell>
          <cell r="D251" t="str">
            <v>-2.2030739730031, -79.915665377806</v>
          </cell>
          <cell r="E251" t="str">
            <v>Guayaquil</v>
          </cell>
          <cell r="F251" t="str">
            <v>Guayas</v>
          </cell>
        </row>
        <row r="252">
          <cell r="B252" t="str">
            <v>476</v>
          </cell>
          <cell r="C252">
            <v>476</v>
          </cell>
          <cell r="D252" t="str">
            <v>-3.2603292549264, -79.959522265012</v>
          </cell>
          <cell r="E252" t="str">
            <v>Machala</v>
          </cell>
          <cell r="F252" t="str">
            <v>El Oro</v>
          </cell>
        </row>
        <row r="253">
          <cell r="B253" t="str">
            <v>477</v>
          </cell>
          <cell r="C253">
            <v>477</v>
          </cell>
          <cell r="D253" t="str">
            <v>-2.1891975473343, -79.889251477088</v>
          </cell>
          <cell r="E253" t="str">
            <v>Guayaquil</v>
          </cell>
          <cell r="F253" t="str">
            <v>Guayas</v>
          </cell>
        </row>
        <row r="254">
          <cell r="B254" t="str">
            <v>478</v>
          </cell>
          <cell r="C254">
            <v>478</v>
          </cell>
          <cell r="D254" t="str">
            <v>-1.070723, -80.448011</v>
          </cell>
          <cell r="E254" t="str">
            <v>Portoviejo</v>
          </cell>
          <cell r="F254" t="str">
            <v>Manabí</v>
          </cell>
        </row>
        <row r="255">
          <cell r="B255" t="str">
            <v>480</v>
          </cell>
          <cell r="C255">
            <v>480</v>
          </cell>
          <cell r="D255" t="str">
            <v>-2.2049575175464, -80.973525440475</v>
          </cell>
          <cell r="E255" t="str">
            <v>Salinas</v>
          </cell>
          <cell r="F255" t="str">
            <v>Santa Elena</v>
          </cell>
        </row>
        <row r="256">
          <cell r="B256" t="str">
            <v>482</v>
          </cell>
          <cell r="C256">
            <v>482</v>
          </cell>
          <cell r="D256" t="str">
            <v>-2.914926557806, -79.02276446202</v>
          </cell>
          <cell r="E256" t="str">
            <v>Cuenca</v>
          </cell>
          <cell r="F256" t="str">
            <v>Azuay</v>
          </cell>
        </row>
        <row r="257">
          <cell r="B257" t="str">
            <v>483</v>
          </cell>
          <cell r="C257">
            <v>483</v>
          </cell>
          <cell r="D257" t="str">
            <v>-2.0406102042185, -79.91401820734</v>
          </cell>
          <cell r="E257" t="str">
            <v>La Aurora</v>
          </cell>
          <cell r="F257" t="str">
            <v>Guayas</v>
          </cell>
        </row>
        <row r="258">
          <cell r="B258" t="str">
            <v>484</v>
          </cell>
          <cell r="C258">
            <v>484</v>
          </cell>
          <cell r="D258" t="str">
            <v>-2.0639911781489, -79.908123080673</v>
          </cell>
          <cell r="E258" t="str">
            <v>Guayaquil</v>
          </cell>
          <cell r="F258" t="str">
            <v>Guayas</v>
          </cell>
        </row>
        <row r="259">
          <cell r="B259" t="str">
            <v>487</v>
          </cell>
          <cell r="C259">
            <v>487</v>
          </cell>
          <cell r="D259" t="str">
            <v>-0.095497525231368, -78.488602004353</v>
          </cell>
          <cell r="E259" t="str">
            <v>El Condado</v>
          </cell>
          <cell r="F259" t="str">
            <v>Pichincha</v>
          </cell>
        </row>
        <row r="260">
          <cell r="B260" t="str">
            <v>489</v>
          </cell>
          <cell r="C260">
            <v>489</v>
          </cell>
          <cell r="D260" t="str">
            <v>-2.0274252137779, -79.950484750383</v>
          </cell>
          <cell r="E260" t="str">
            <v>Guayaquil</v>
          </cell>
          <cell r="F260" t="str">
            <v>Guayas</v>
          </cell>
        </row>
        <row r="261">
          <cell r="B261" t="str">
            <v>490</v>
          </cell>
          <cell r="C261">
            <v>490</v>
          </cell>
          <cell r="D261" t="str">
            <v>-0.159998, -78.466534</v>
          </cell>
          <cell r="E261" t="str">
            <v>Comuna Miraflores</v>
          </cell>
          <cell r="F261" t="str">
            <v>Pichincha</v>
          </cell>
        </row>
        <row r="262">
          <cell r="B262" t="str">
            <v>495</v>
          </cell>
          <cell r="C262">
            <v>495</v>
          </cell>
          <cell r="D262" t="str">
            <v>-2.1821769815315, -79.985473965607</v>
          </cell>
          <cell r="E262" t="str">
            <v>Guayaquil</v>
          </cell>
          <cell r="F262" t="str">
            <v>Guayas</v>
          </cell>
        </row>
        <row r="263">
          <cell r="B263" t="str">
            <v>496</v>
          </cell>
          <cell r="C263">
            <v>496</v>
          </cell>
          <cell r="D263" t="str">
            <v>-1.799965, -79.531699</v>
          </cell>
          <cell r="E263" t="str">
            <v>Babahoyo</v>
          </cell>
          <cell r="F263" t="str">
            <v>Los Ríos</v>
          </cell>
        </row>
        <row r="264">
          <cell r="B264" t="str">
            <v>497</v>
          </cell>
          <cell r="C264">
            <v>497</v>
          </cell>
          <cell r="D264" t="str">
            <v>-2.188029909433, -79.827955918632</v>
          </cell>
          <cell r="E264" t="str">
            <v>Durán</v>
          </cell>
          <cell r="F264" t="str">
            <v>Guayas</v>
          </cell>
        </row>
        <row r="265">
          <cell r="B265" t="str">
            <v>498</v>
          </cell>
          <cell r="C265">
            <v>498</v>
          </cell>
          <cell r="D265" t="str">
            <v>-1.2716069272376, -78.61188654668</v>
          </cell>
          <cell r="E265" t="str">
            <v>Ambato</v>
          </cell>
          <cell r="F265" t="str">
            <v>Tungurahua</v>
          </cell>
        </row>
        <row r="266">
          <cell r="B266" t="str">
            <v>499</v>
          </cell>
          <cell r="C266">
            <v>499</v>
          </cell>
          <cell r="D266" t="str">
            <v>-2.06849, -79.895125</v>
          </cell>
          <cell r="E266" t="str">
            <v>Guayaquil</v>
          </cell>
          <cell r="F266" t="str">
            <v>Guayas</v>
          </cell>
        </row>
        <row r="267">
          <cell r="B267" t="str">
            <v>501</v>
          </cell>
          <cell r="C267">
            <v>501</v>
          </cell>
          <cell r="D267" t="str">
            <v>-0.16603923764519, -78.476094563879</v>
          </cell>
          <cell r="E267" t="str">
            <v>Quito</v>
          </cell>
          <cell r="F267" t="str">
            <v>Pichincha</v>
          </cell>
        </row>
        <row r="268">
          <cell r="B268" t="str">
            <v>505</v>
          </cell>
          <cell r="C268">
            <v>505</v>
          </cell>
          <cell r="D268" t="str">
            <v>-2.1901574203831116, -79.87989160148149</v>
          </cell>
          <cell r="E268" t="str">
            <v>Guayaquil</v>
          </cell>
          <cell r="F268" t="str">
            <v>Guayas</v>
          </cell>
        </row>
        <row r="269">
          <cell r="B269" t="str">
            <v>506</v>
          </cell>
          <cell r="C269">
            <v>506</v>
          </cell>
          <cell r="D269" t="str">
            <v>-2.1901574203831116, -79.87989160148149</v>
          </cell>
          <cell r="E269" t="str">
            <v>Guayaquil</v>
          </cell>
          <cell r="F269" t="str">
            <v>Guayas</v>
          </cell>
        </row>
        <row r="270">
          <cell r="B270" t="str">
            <v>507</v>
          </cell>
          <cell r="C270">
            <v>507</v>
          </cell>
          <cell r="D270" t="str">
            <v>-2.1258792326852, -79.933447138901</v>
          </cell>
          <cell r="E270" t="str">
            <v>Guayaquil</v>
          </cell>
          <cell r="F270" t="str">
            <v>Guayas</v>
          </cell>
        </row>
        <row r="271">
          <cell r="B271" t="str">
            <v>508</v>
          </cell>
          <cell r="C271">
            <v>508</v>
          </cell>
          <cell r="D271" t="str">
            <v>-2.1899148432515, -79.879941750822</v>
          </cell>
          <cell r="E271" t="str">
            <v>Guayaquil</v>
          </cell>
          <cell r="F271" t="str">
            <v>Guayas</v>
          </cell>
        </row>
        <row r="272">
          <cell r="B272" t="str">
            <v>509</v>
          </cell>
          <cell r="C272">
            <v>509</v>
          </cell>
          <cell r="D272" t="str">
            <v>-0.10931871172645, -78.445085546681</v>
          </cell>
          <cell r="E272" t="str">
            <v>Carapungo</v>
          </cell>
          <cell r="F272" t="str">
            <v>Pichincha</v>
          </cell>
        </row>
        <row r="273">
          <cell r="B273" t="str">
            <v>510</v>
          </cell>
          <cell r="C273">
            <v>510</v>
          </cell>
          <cell r="D273" t="str">
            <v>-2.8971729126886, -78.976930190856</v>
          </cell>
          <cell r="E273" t="str">
            <v>Cuenca</v>
          </cell>
          <cell r="F273" t="str">
            <v>Azuay</v>
          </cell>
        </row>
        <row r="274">
          <cell r="B274" t="str">
            <v>511</v>
          </cell>
          <cell r="C274">
            <v>511</v>
          </cell>
          <cell r="D274" t="str">
            <v>-2.0383602154564, -79.857352980223</v>
          </cell>
          <cell r="E274" t="str">
            <v>Samborondón</v>
          </cell>
          <cell r="F274" t="str">
            <v>Guayas</v>
          </cell>
        </row>
        <row r="275">
          <cell r="B275" t="str">
            <v>512</v>
          </cell>
          <cell r="C275">
            <v>512</v>
          </cell>
          <cell r="D275" t="str">
            <v>-2.1775527356936, -79.942488674591</v>
          </cell>
          <cell r="E275" t="str">
            <v>Guayaquil</v>
          </cell>
          <cell r="F275" t="str">
            <v>Guayas</v>
          </cell>
        </row>
        <row r="276">
          <cell r="B276" t="str">
            <v>513</v>
          </cell>
          <cell r="C276">
            <v>513</v>
          </cell>
          <cell r="D276" t="str">
            <v>-1.998157497178, -79.968113919695</v>
          </cell>
          <cell r="E276" t="str">
            <v>Guayaquil</v>
          </cell>
          <cell r="F276" t="str">
            <v>Guayas</v>
          </cell>
        </row>
        <row r="277">
          <cell r="B277" t="str">
            <v>514</v>
          </cell>
          <cell r="C277">
            <v>514</v>
          </cell>
          <cell r="D277" t="str">
            <v>-2.5918387009263, -80.397510204492</v>
          </cell>
          <cell r="E277" t="str">
            <v>Playas</v>
          </cell>
          <cell r="F277" t="str">
            <v>Guayas</v>
          </cell>
        </row>
        <row r="278">
          <cell r="B278" t="str">
            <v>515</v>
          </cell>
          <cell r="C278">
            <v>515</v>
          </cell>
          <cell r="D278" t="str">
            <v>-2.1690429640077, -79.896997210409</v>
          </cell>
          <cell r="E278" t="str">
            <v>Guayaquil</v>
          </cell>
          <cell r="F278" t="str">
            <v>Guayas</v>
          </cell>
        </row>
        <row r="279">
          <cell r="B279" t="str">
            <v>517</v>
          </cell>
          <cell r="C279">
            <v>517</v>
          </cell>
          <cell r="D279" t="str">
            <v>-2.1382411328962, -79.891425520883</v>
          </cell>
          <cell r="E279" t="str">
            <v>Guayaquil</v>
          </cell>
          <cell r="F279" t="str">
            <v>Guayas</v>
          </cell>
        </row>
        <row r="280">
          <cell r="B280" t="str">
            <v>518</v>
          </cell>
          <cell r="C280">
            <v>518</v>
          </cell>
          <cell r="D280" t="str">
            <v>-2.0339784447375, -79.887350462023</v>
          </cell>
          <cell r="E280" t="str">
            <v>La Aurora</v>
          </cell>
          <cell r="F280" t="str">
            <v>Guayas</v>
          </cell>
        </row>
        <row r="281">
          <cell r="B281" t="str">
            <v>519</v>
          </cell>
          <cell r="C281">
            <v>519</v>
          </cell>
          <cell r="D281" t="str">
            <v>-2.1899148432515, -79.879941750822</v>
          </cell>
          <cell r="E281" t="str">
            <v>Guayaquil</v>
          </cell>
          <cell r="F281" t="str">
            <v>Guayas</v>
          </cell>
        </row>
        <row r="282">
          <cell r="B282" t="str">
            <v>520</v>
          </cell>
          <cell r="C282">
            <v>520</v>
          </cell>
          <cell r="D282" t="str">
            <v>-0.10385863876508, -78.490326716394</v>
          </cell>
          <cell r="E282" t="str">
            <v>El Condado</v>
          </cell>
          <cell r="F282" t="str">
            <v>Pichincha</v>
          </cell>
        </row>
        <row r="283">
          <cell r="B283" t="str">
            <v>521</v>
          </cell>
          <cell r="C283">
            <v>521</v>
          </cell>
          <cell r="D283" t="str">
            <v>-2.1288782156838, -79.863641467832</v>
          </cell>
          <cell r="E283" t="str">
            <v>Samborondón</v>
          </cell>
          <cell r="F283" t="str">
            <v>Guayas</v>
          </cell>
        </row>
        <row r="284">
          <cell r="B284" t="str">
            <v>522</v>
          </cell>
          <cell r="C284">
            <v>522</v>
          </cell>
          <cell r="D284" t="str">
            <v>-2.0748000814385, -79.873377209486</v>
          </cell>
          <cell r="E284" t="str">
            <v>Samborondón</v>
          </cell>
          <cell r="F284" t="str">
            <v>Guayas</v>
          </cell>
        </row>
        <row r="285">
          <cell r="B285" t="str">
            <v>523</v>
          </cell>
          <cell r="C285">
            <v>523</v>
          </cell>
          <cell r="D285" t="str">
            <v>-1.0422553136955, -80.468918452919</v>
          </cell>
          <cell r="E285" t="str">
            <v>Portoviejo</v>
          </cell>
          <cell r="F285" t="str">
            <v>Manabí</v>
          </cell>
        </row>
        <row r="286">
          <cell r="B286" t="str">
            <v>524</v>
          </cell>
          <cell r="C286">
            <v>524</v>
          </cell>
          <cell r="D286" t="str">
            <v>-0.34606900953299474, -78.43734983884927</v>
          </cell>
          <cell r="E286" t="str">
            <v>Quito</v>
          </cell>
          <cell r="F286" t="str">
            <v>Pichincha</v>
          </cell>
        </row>
        <row r="287">
          <cell r="B287" t="str">
            <v>525</v>
          </cell>
          <cell r="C287">
            <v>525</v>
          </cell>
          <cell r="D287" t="str">
            <v>-2.177521326534, -79.825584041664</v>
          </cell>
          <cell r="E287" t="str">
            <v>Durán</v>
          </cell>
          <cell r="F287" t="str">
            <v>Guayas</v>
          </cell>
        </row>
        <row r="288">
          <cell r="B288" t="str">
            <v>526</v>
          </cell>
          <cell r="C288">
            <v>526</v>
          </cell>
          <cell r="D288" t="str">
            <v>-0.008035317179819814, -78.44762497884675</v>
          </cell>
          <cell r="E288" t="str">
            <v>San Antonio</v>
          </cell>
          <cell r="F288" t="str">
            <v>Pichincha</v>
          </cell>
        </row>
        <row r="289">
          <cell r="B289" t="str">
            <v>527</v>
          </cell>
          <cell r="C289">
            <v>527</v>
          </cell>
          <cell r="D289" t="str">
            <v>-1.2372873000002194, -78.63297151534546</v>
          </cell>
          <cell r="E289" t="str">
            <v>Ambato</v>
          </cell>
          <cell r="F289" t="str">
            <v>Tungurahua</v>
          </cell>
        </row>
        <row r="290">
          <cell r="B290" t="str">
            <v>528</v>
          </cell>
          <cell r="C290">
            <v>528</v>
          </cell>
          <cell r="D290" t="str">
            <v>-2.0311202736593, -79.90213234435</v>
          </cell>
          <cell r="E290" t="str">
            <v>La Aurora</v>
          </cell>
          <cell r="F290" t="str">
            <v>Guayas</v>
          </cell>
        </row>
        <row r="291">
          <cell r="B291" t="str">
            <v>529</v>
          </cell>
          <cell r="C291">
            <v>529</v>
          </cell>
          <cell r="D291" t="str">
            <v>-2.175519996708783, -79.83084726112874</v>
          </cell>
          <cell r="E291" t="str">
            <v>Durán</v>
          </cell>
          <cell r="F291" t="str">
            <v>Guayas</v>
          </cell>
        </row>
        <row r="292">
          <cell r="B292" t="str">
            <v>530</v>
          </cell>
          <cell r="C292">
            <v>530</v>
          </cell>
          <cell r="D292" t="str">
            <v>-1.3954293085607, -78.423825275802</v>
          </cell>
          <cell r="E292" t="str">
            <v>Baños de Agua Santa</v>
          </cell>
          <cell r="F292" t="str">
            <v>Tungurahua</v>
          </cell>
        </row>
        <row r="293">
          <cell r="B293" t="str">
            <v>531</v>
          </cell>
          <cell r="C293">
            <v>531</v>
          </cell>
          <cell r="D293" t="str">
            <v>-2.7508620147350187, -78.84869086136035</v>
          </cell>
          <cell r="E293" t="str">
            <v>Azogues</v>
          </cell>
          <cell r="F293" t="str">
            <v>Cañar</v>
          </cell>
        </row>
        <row r="294">
          <cell r="B294" t="str">
            <v>532</v>
          </cell>
          <cell r="C294">
            <v>532</v>
          </cell>
          <cell r="D294" t="str">
            <v>-2.1975406675718, -80.059598953968</v>
          </cell>
          <cell r="E294" t="str">
            <v>Guayaquil</v>
          </cell>
          <cell r="F294" t="str">
            <v>Guayas</v>
          </cell>
        </row>
        <row r="295">
          <cell r="B295" t="str">
            <v>533</v>
          </cell>
          <cell r="C295">
            <v>533</v>
          </cell>
          <cell r="D295" t="str">
            <v>-0.207321, -78.49514</v>
          </cell>
          <cell r="E295" t="str">
            <v>Quito</v>
          </cell>
          <cell r="F295" t="str">
            <v>Pichincha</v>
          </cell>
        </row>
        <row r="296">
          <cell r="B296" t="str">
            <v>534</v>
          </cell>
          <cell r="C296">
            <v>534</v>
          </cell>
          <cell r="D296" t="str">
            <v>-2.786915, -79.16598</v>
          </cell>
          <cell r="E296" t="str">
            <v>Cuenca</v>
          </cell>
          <cell r="F296" t="str">
            <v>Azuay</v>
          </cell>
        </row>
        <row r="297">
          <cell r="B297" t="str">
            <v>537</v>
          </cell>
          <cell r="C297">
            <v>537</v>
          </cell>
          <cell r="D297" t="str">
            <v>-2.234701, -80.079534</v>
          </cell>
          <cell r="E297" t="str">
            <v>Guayaquil</v>
          </cell>
          <cell r="F297" t="str">
            <v>Guayas</v>
          </cell>
        </row>
        <row r="298">
          <cell r="B298" t="str">
            <v>538</v>
          </cell>
          <cell r="C298">
            <v>538</v>
          </cell>
          <cell r="D298" t="str">
            <v>-2.03485258523185, -79.9155356344261</v>
          </cell>
          <cell r="E298" t="str">
            <v>La Aurora</v>
          </cell>
          <cell r="F298" t="str">
            <v>Guayas</v>
          </cell>
        </row>
        <row r="299">
          <cell r="B299" t="str">
            <v>539</v>
          </cell>
          <cell r="C299">
            <v>539</v>
          </cell>
          <cell r="D299" t="str">
            <v>-2.19992703521746, -79.9026085148514</v>
          </cell>
          <cell r="E299" t="str">
            <v>Guayaquil</v>
          </cell>
          <cell r="F299" t="str">
            <v>Guayas</v>
          </cell>
        </row>
        <row r="300">
          <cell r="B300" t="str">
            <v>540</v>
          </cell>
          <cell r="C300">
            <v>540</v>
          </cell>
          <cell r="D300" t="str">
            <v>-2.195605, -79.887726</v>
          </cell>
          <cell r="E300" t="str">
            <v>Guayaquil</v>
          </cell>
          <cell r="F300" t="str">
            <v>Guayas</v>
          </cell>
        </row>
        <row r="301">
          <cell r="B301" t="str">
            <v>541</v>
          </cell>
          <cell r="C301">
            <v>541</v>
          </cell>
          <cell r="D301" t="str">
            <v>-1.82300117471576, -80.7533523213827</v>
          </cell>
          <cell r="E301" t="str">
            <v>Montañita</v>
          </cell>
          <cell r="F301" t="str">
            <v>Santa Elena</v>
          </cell>
        </row>
        <row r="302">
          <cell r="B302" t="str">
            <v>543</v>
          </cell>
          <cell r="C302">
            <v>543</v>
          </cell>
          <cell r="D302" t="str">
            <v>-2.180908, -79.814326</v>
          </cell>
          <cell r="E302" t="str">
            <v>Durán</v>
          </cell>
          <cell r="F302" t="str">
            <v>Guayas</v>
          </cell>
        </row>
        <row r="303">
          <cell r="B303" t="str">
            <v>544</v>
          </cell>
          <cell r="C303">
            <v>544</v>
          </cell>
          <cell r="D303" t="str">
            <v>-2.18238975072341, -79.9489053000797</v>
          </cell>
          <cell r="E303" t="str">
            <v>Guayaquil</v>
          </cell>
          <cell r="F303" t="str">
            <v>Guayas</v>
          </cell>
        </row>
        <row r="304">
          <cell r="B304" t="str">
            <v>545</v>
          </cell>
          <cell r="C304">
            <v>545</v>
          </cell>
          <cell r="D304" t="str">
            <v>-2.076268, -79.857469</v>
          </cell>
          <cell r="E304" t="str">
            <v>Samborondón</v>
          </cell>
          <cell r="F304" t="str">
            <v>Guayas</v>
          </cell>
        </row>
        <row r="305">
          <cell r="B305" t="str">
            <v>546</v>
          </cell>
          <cell r="C305">
            <v>546</v>
          </cell>
          <cell r="D305" t="str">
            <v>-2.17431566775777, -79.8037642790764</v>
          </cell>
          <cell r="E305" t="str">
            <v>Durán</v>
          </cell>
          <cell r="F305" t="str">
            <v>Guayas</v>
          </cell>
        </row>
        <row r="306">
          <cell r="B306" t="str">
            <v>547</v>
          </cell>
          <cell r="C306">
            <v>547</v>
          </cell>
          <cell r="D306" t="str">
            <v>-1.79769336150926, -80.7565370348239</v>
          </cell>
          <cell r="E306" t="str">
            <v>Olón</v>
          </cell>
          <cell r="F306" t="str">
            <v>Santa Elena</v>
          </cell>
        </row>
        <row r="307">
          <cell r="B307" t="str">
            <v>548</v>
          </cell>
          <cell r="C307">
            <v>548</v>
          </cell>
          <cell r="D307" t="str">
            <v>-2.03712726187108, -79.8490244949786</v>
          </cell>
          <cell r="E307" t="str">
            <v>Samborondón</v>
          </cell>
          <cell r="F307" t="str">
            <v>Guayas</v>
          </cell>
        </row>
        <row r="308">
          <cell r="B308" t="str">
            <v>549</v>
          </cell>
          <cell r="C308">
            <v>549</v>
          </cell>
          <cell r="D308" t="str">
            <v>-2.12027909370317, -79.9335863470148</v>
          </cell>
          <cell r="E308" t="str">
            <v>Guayaquil</v>
          </cell>
          <cell r="F308" t="str">
            <v>Guayas</v>
          </cell>
        </row>
        <row r="309">
          <cell r="B309" t="str">
            <v>550</v>
          </cell>
          <cell r="C309">
            <v>550</v>
          </cell>
          <cell r="D309" t="str">
            <v>-2.07606794265836, -79.8531456622234</v>
          </cell>
          <cell r="E309" t="str">
            <v>Samborondón</v>
          </cell>
          <cell r="F309" t="str">
            <v>Guayas</v>
          </cell>
        </row>
        <row r="310">
          <cell r="B310" t="str">
            <v>551</v>
          </cell>
          <cell r="C310">
            <v>551</v>
          </cell>
          <cell r="D310" t="str">
            <v>-2.193576260329084, -79.88287342393875</v>
          </cell>
          <cell r="E310" t="str">
            <v>Guayaquil</v>
          </cell>
          <cell r="F310" t="str">
            <v>Guayas</v>
          </cell>
        </row>
        <row r="311">
          <cell r="B311" t="str">
            <v>552</v>
          </cell>
          <cell r="C311">
            <v>552</v>
          </cell>
          <cell r="D311" t="str">
            <v>-2.921271543467622, -79.01501242289524</v>
          </cell>
          <cell r="E311" t="str">
            <v>Cuenca</v>
          </cell>
          <cell r="F311" t="str">
            <v>Azuay</v>
          </cell>
        </row>
        <row r="312">
          <cell r="B312" t="str">
            <v>553</v>
          </cell>
          <cell r="C312">
            <v>553</v>
          </cell>
          <cell r="D312" t="str">
            <v>-1.555794400436302, -79.75308492851916</v>
          </cell>
          <cell r="E312" t="str">
            <v>Vinces</v>
          </cell>
          <cell r="F312" t="str">
            <v>Los Ríos</v>
          </cell>
        </row>
        <row r="313">
          <cell r="B313" t="str">
            <v>554</v>
          </cell>
          <cell r="C313">
            <v>554</v>
          </cell>
          <cell r="D313" t="str">
            <v>-1.4443708373525077, -79.46363630270245</v>
          </cell>
          <cell r="E313" t="str">
            <v>Ventanas</v>
          </cell>
          <cell r="F313" t="str">
            <v>Los Ríos</v>
          </cell>
        </row>
        <row r="315">
          <cell r="D315" t="str">
            <v>-2.1899148432515, -79.879941750822</v>
          </cell>
          <cell r="E315" t="str">
            <v>Guayaquil</v>
          </cell>
          <cell r="F315" t="str">
            <v>Guayas</v>
          </cell>
        </row>
        <row r="329">
          <cell r="B329" t="str">
            <v>A0001</v>
          </cell>
          <cell r="C329" t="str">
            <v>OF-86</v>
          </cell>
          <cell r="D329" t="str">
            <v>-2.187578912005, -79.895072277516</v>
          </cell>
          <cell r="E329" t="str">
            <v>Guayaquil</v>
          </cell>
          <cell r="F329" t="str">
            <v>Guayas</v>
          </cell>
        </row>
        <row r="330">
          <cell r="B330" t="str">
            <v>A0002</v>
          </cell>
          <cell r="C330" t="str">
            <v>OF-2</v>
          </cell>
          <cell r="D330" t="str">
            <v>-2.1477533987468, -79.899858642948</v>
          </cell>
          <cell r="E330" t="str">
            <v>Guayaquil</v>
          </cell>
          <cell r="F330" t="str">
            <v>Guayas</v>
          </cell>
        </row>
        <row r="331">
          <cell r="B331" t="str">
            <v>A0003</v>
          </cell>
          <cell r="C331" t="str">
            <v>OF-95</v>
          </cell>
          <cell r="D331" t="str">
            <v>-2.1335977860225, -79.904058839287</v>
          </cell>
          <cell r="E331" t="str">
            <v>Guayaquil</v>
          </cell>
          <cell r="F331" t="str">
            <v>Guayas</v>
          </cell>
        </row>
        <row r="332">
          <cell r="B332" t="str">
            <v>A0004</v>
          </cell>
          <cell r="C332" t="str">
            <v>OF-25</v>
          </cell>
          <cell r="D332" t="str">
            <v>-1.8004036332543, -79.535966546678</v>
          </cell>
          <cell r="E332" t="str">
            <v>Babahoyo</v>
          </cell>
          <cell r="F332" t="str">
            <v>Los Ríos</v>
          </cell>
        </row>
        <row r="333">
          <cell r="B333" t="str">
            <v>A0005</v>
          </cell>
          <cell r="C333" t="str">
            <v>OF-23</v>
          </cell>
          <cell r="D333" t="str">
            <v>-0.89612508624406, -79.490255462025</v>
          </cell>
          <cell r="E333" t="str">
            <v>San Jacinto de Buena Fe</v>
          </cell>
          <cell r="F333" t="str">
            <v>Los Ríos</v>
          </cell>
        </row>
        <row r="334">
          <cell r="B334" t="str">
            <v>A0006</v>
          </cell>
          <cell r="C334" t="str">
            <v>OF-4</v>
          </cell>
          <cell r="D334" t="str">
            <v>-2.2151156802047, -79.889049472387</v>
          </cell>
          <cell r="E334" t="str">
            <v>Guayaquil</v>
          </cell>
          <cell r="F334" t="str">
            <v>Guayas</v>
          </cell>
        </row>
        <row r="335">
          <cell r="B335" t="str">
            <v>A0007</v>
          </cell>
          <cell r="C335" t="str">
            <v>OF-11</v>
          </cell>
          <cell r="D335" t="str">
            <v>-0.27234110224082, -79.462855468174</v>
          </cell>
          <cell r="E335" t="str">
            <v>El Carmen</v>
          </cell>
          <cell r="F335" t="str">
            <v>Manabí</v>
          </cell>
        </row>
        <row r="336">
          <cell r="B336" t="str">
            <v>A0008</v>
          </cell>
          <cell r="C336" t="str">
            <v>OF-182</v>
          </cell>
          <cell r="D336" t="str">
            <v>-2.0552497307291, -79.875205655434</v>
          </cell>
          <cell r="E336" t="str">
            <v>La Aurora</v>
          </cell>
          <cell r="F336" t="str">
            <v>Guayas</v>
          </cell>
        </row>
        <row r="337">
          <cell r="B337" t="str">
            <v>A0009</v>
          </cell>
          <cell r="C337" t="str">
            <v>OF-22</v>
          </cell>
          <cell r="D337" t="str">
            <v>-1.0423740464626, -79.637542364418</v>
          </cell>
          <cell r="E337" t="str">
            <v>El Empalme</v>
          </cell>
          <cell r="F337" t="str">
            <v>Guayas</v>
          </cell>
        </row>
        <row r="338">
          <cell r="B338" t="str">
            <v>A0010</v>
          </cell>
          <cell r="C338" t="str">
            <v>OF-12</v>
          </cell>
          <cell r="D338" t="str">
            <v>0.0047511679635608, -79.397524259818</v>
          </cell>
          <cell r="E338" t="str">
            <v>San Isidro</v>
          </cell>
          <cell r="F338" t="str">
            <v>Santo Domingo de los Tsáchilas</v>
          </cell>
        </row>
        <row r="339">
          <cell r="B339" t="str">
            <v>A0011</v>
          </cell>
          <cell r="C339" t="str">
            <v>OF-70</v>
          </cell>
          <cell r="D339" t="str">
            <v>-2.2212702792257, -80.908197224537</v>
          </cell>
          <cell r="E339" t="str">
            <v>La Libertad</v>
          </cell>
          <cell r="F339" t="str">
            <v>Santa Elena</v>
          </cell>
        </row>
        <row r="340">
          <cell r="B340" t="str">
            <v>A0012</v>
          </cell>
          <cell r="C340" t="str">
            <v>OF-60</v>
          </cell>
          <cell r="D340" t="str">
            <v>-2.4231470858939, -79.343161462021</v>
          </cell>
          <cell r="E340" t="str">
            <v>La Troncal</v>
          </cell>
          <cell r="F340" t="str">
            <v>Cañar</v>
          </cell>
        </row>
        <row r="341">
          <cell r="B341" t="str">
            <v>A0013</v>
          </cell>
          <cell r="C341" t="str">
            <v>OF-84</v>
          </cell>
          <cell r="D341" t="str">
            <v>-2.171101, -79.911039</v>
          </cell>
          <cell r="E341" t="str">
            <v>Guayaquil</v>
          </cell>
          <cell r="F341" t="str">
            <v>Guayas</v>
          </cell>
        </row>
        <row r="342">
          <cell r="B342" t="str">
            <v>A0014</v>
          </cell>
          <cell r="C342" t="str">
            <v>OF-93</v>
          </cell>
          <cell r="D342" t="str">
            <v>-2.1800670462068, -79.944811350052</v>
          </cell>
          <cell r="E342" t="str">
            <v>Guayaquil</v>
          </cell>
          <cell r="F342" t="str">
            <v>Guayas</v>
          </cell>
        </row>
        <row r="343">
          <cell r="B343" t="str">
            <v>A0015</v>
          </cell>
          <cell r="C343" t="str">
            <v>OF-31</v>
          </cell>
          <cell r="D343" t="str">
            <v>-3.2603292549264, -79.959522265012</v>
          </cell>
          <cell r="E343" t="str">
            <v>Machala</v>
          </cell>
          <cell r="F343" t="str">
            <v>El Oro</v>
          </cell>
        </row>
        <row r="344">
          <cell r="B344" t="str">
            <v>A0016</v>
          </cell>
          <cell r="C344" t="str">
            <v>OF-30</v>
          </cell>
          <cell r="D344" t="str">
            <v>-3.2791119581546, -79.933491846033</v>
          </cell>
          <cell r="E344" t="str">
            <v>Machala</v>
          </cell>
          <cell r="F344" t="str">
            <v>El Oro</v>
          </cell>
        </row>
        <row r="345">
          <cell r="B345" t="str">
            <v>A0017</v>
          </cell>
          <cell r="C345" t="str">
            <v>OF-174</v>
          </cell>
          <cell r="D345" t="str">
            <v>-2.1554236042519, -79.893033267529</v>
          </cell>
          <cell r="E345" t="str">
            <v>Guayaquil</v>
          </cell>
          <cell r="F345" t="str">
            <v>Guayas</v>
          </cell>
        </row>
        <row r="346">
          <cell r="B346" t="str">
            <v>A0018</v>
          </cell>
          <cell r="C346" t="str">
            <v>OF-94</v>
          </cell>
          <cell r="D346" t="str">
            <v>-2.229148, -79.898457</v>
          </cell>
          <cell r="E346" t="str">
            <v>Guayaquil</v>
          </cell>
          <cell r="F346" t="str">
            <v>Guayas</v>
          </cell>
        </row>
        <row r="347">
          <cell r="B347" t="str">
            <v>A0019</v>
          </cell>
          <cell r="C347" t="str">
            <v>OF-110</v>
          </cell>
          <cell r="D347" t="str">
            <v>-0.94425921393838, -80.723623947716</v>
          </cell>
          <cell r="E347" t="str">
            <v>Manta</v>
          </cell>
          <cell r="F347" t="str">
            <v>Manabí</v>
          </cell>
        </row>
        <row r="348">
          <cell r="B348" t="str">
            <v>A0020</v>
          </cell>
          <cell r="C348" t="str">
            <v>OF-0</v>
          </cell>
          <cell r="D348" t="str">
            <v>-2.1899148432515, -79.879941750822</v>
          </cell>
          <cell r="E348" t="str">
            <v>Guayaquil</v>
          </cell>
          <cell r="F348" t="str">
            <v>Guayas</v>
          </cell>
        </row>
        <row r="349">
          <cell r="B349" t="str">
            <v>A0021</v>
          </cell>
          <cell r="C349" t="str">
            <v>OF-5</v>
          </cell>
          <cell r="D349" t="str">
            <v>-2.1931403563253, -79.888195372799</v>
          </cell>
          <cell r="E349" t="str">
            <v>Guayaquil</v>
          </cell>
          <cell r="F349" t="str">
            <v>Guayas</v>
          </cell>
        </row>
        <row r="350">
          <cell r="B350" t="str">
            <v>A0022</v>
          </cell>
          <cell r="C350" t="str">
            <v>OF-88</v>
          </cell>
          <cell r="D350" t="str">
            <v>-2.128853, -79.591199</v>
          </cell>
          <cell r="E350" t="str">
            <v>Milagro</v>
          </cell>
          <cell r="F350" t="str">
            <v>Guayas</v>
          </cell>
        </row>
        <row r="351">
          <cell r="B351" t="str">
            <v>A0024</v>
          </cell>
          <cell r="C351" t="str">
            <v>OF-91</v>
          </cell>
          <cell r="D351" t="str">
            <v>-2.098622, -79.936398</v>
          </cell>
          <cell r="E351" t="str">
            <v>Guayaquil</v>
          </cell>
          <cell r="F351" t="str">
            <v>Guayas</v>
          </cell>
        </row>
        <row r="352">
          <cell r="B352" t="str">
            <v>A0025</v>
          </cell>
          <cell r="C352" t="str">
            <v>OF-98</v>
          </cell>
          <cell r="D352" t="str">
            <v>-2.177521326534, -79.825584041664</v>
          </cell>
          <cell r="E352" t="str">
            <v>Durán</v>
          </cell>
          <cell r="F352" t="str">
            <v>Guayas</v>
          </cell>
        </row>
        <row r="353">
          <cell r="B353" t="str">
            <v>A0026</v>
          </cell>
          <cell r="C353" t="str">
            <v>OF-85</v>
          </cell>
          <cell r="D353" t="str">
            <v>-2.171177, -79.900567</v>
          </cell>
          <cell r="E353" t="str">
            <v>Guayaquil</v>
          </cell>
          <cell r="F353" t="str">
            <v>Guayas</v>
          </cell>
        </row>
        <row r="354">
          <cell r="B354" t="str">
            <v>A0027</v>
          </cell>
          <cell r="C354" t="str">
            <v>OF-112</v>
          </cell>
          <cell r="D354" t="str">
            <v>-1.0509264862944, -80.462363347939</v>
          </cell>
          <cell r="E354" t="str">
            <v>Portoviejo</v>
          </cell>
          <cell r="F354" t="str">
            <v>Manabí</v>
          </cell>
        </row>
        <row r="355">
          <cell r="B355" t="str">
            <v>A0028</v>
          </cell>
          <cell r="C355" t="str">
            <v>OF-20</v>
          </cell>
          <cell r="D355" t="str">
            <v>-1.0240457901493, -79.465783077013</v>
          </cell>
          <cell r="E355" t="str">
            <v>Quevedo</v>
          </cell>
          <cell r="F355" t="str">
            <v>Los Ríos</v>
          </cell>
        </row>
        <row r="356">
          <cell r="B356" t="str">
            <v>A0029</v>
          </cell>
          <cell r="C356" t="str">
            <v>OF-183</v>
          </cell>
          <cell r="D356" t="str">
            <v>-2.1133265276055675, -79.87081606931311</v>
          </cell>
          <cell r="E356" t="str">
            <v>Samborondón</v>
          </cell>
          <cell r="F356" t="str">
            <v>Guayas</v>
          </cell>
        </row>
        <row r="357">
          <cell r="B357" t="str">
            <v>A0030</v>
          </cell>
          <cell r="C357" t="str">
            <v>OF-175</v>
          </cell>
          <cell r="D357" t="str">
            <v>-2.19020536674, -79.94269474107</v>
          </cell>
          <cell r="E357" t="str">
            <v>Guayaquil</v>
          </cell>
          <cell r="F357" t="str">
            <v>Guayas</v>
          </cell>
        </row>
        <row r="358">
          <cell r="B358" t="str">
            <v>A0031</v>
          </cell>
          <cell r="C358" t="str">
            <v>OF-92</v>
          </cell>
          <cell r="D358" t="str">
            <v>-2.1694677273972, -79.89852522833</v>
          </cell>
          <cell r="E358" t="str">
            <v>Guayaquil</v>
          </cell>
          <cell r="F358" t="str">
            <v>Guayas</v>
          </cell>
        </row>
        <row r="359">
          <cell r="B359" t="str">
            <v>A0032</v>
          </cell>
          <cell r="C359" t="str">
            <v>OF-10</v>
          </cell>
          <cell r="D359" t="str">
            <v>-0.25177914970625, -79.164858575815</v>
          </cell>
          <cell r="E359" t="str">
            <v>Santo Domingo de los Tsachilas</v>
          </cell>
          <cell r="F359" t="str">
            <v>Santo Domingo de los Tsáchilas</v>
          </cell>
        </row>
        <row r="360">
          <cell r="B360" t="str">
            <v>A0033</v>
          </cell>
          <cell r="C360" t="str">
            <v>OF-3</v>
          </cell>
          <cell r="D360" t="str">
            <v>-2.175465, -79.904725</v>
          </cell>
          <cell r="E360" t="str">
            <v>Guayaquil</v>
          </cell>
          <cell r="F360" t="str">
            <v>Guayas</v>
          </cell>
        </row>
        <row r="361">
          <cell r="B361" t="str">
            <v>A0034</v>
          </cell>
          <cell r="C361" t="str">
            <v>OF-0</v>
          </cell>
          <cell r="D361" t="str">
            <v>-2.1899148432515, -79.879941750822</v>
          </cell>
          <cell r="E361" t="str">
            <v>Guayaquil</v>
          </cell>
          <cell r="F361" t="str">
            <v>Guayas</v>
          </cell>
        </row>
        <row r="362">
          <cell r="B362" t="str">
            <v>A0035</v>
          </cell>
          <cell r="C362" t="str">
            <v>VENT-2</v>
          </cell>
          <cell r="D362" t="str">
            <v>-2.1436198698285, -79.914839904091</v>
          </cell>
          <cell r="E362" t="str">
            <v>Guayaquil</v>
          </cell>
          <cell r="F362" t="str">
            <v>Guayas</v>
          </cell>
        </row>
        <row r="363">
          <cell r="B363" t="str">
            <v>A0036</v>
          </cell>
          <cell r="C363" t="str">
            <v>VENT-44</v>
          </cell>
          <cell r="D363" t="str">
            <v>-3.274044, -79.935957</v>
          </cell>
          <cell r="E363" t="str">
            <v>Machala</v>
          </cell>
          <cell r="F363" t="str">
            <v>El Oro</v>
          </cell>
        </row>
        <row r="364">
          <cell r="B364" t="str">
            <v>A0037</v>
          </cell>
          <cell r="C364" t="str">
            <v>VENT-3</v>
          </cell>
          <cell r="D364" t="str">
            <v>-1.073357, -80.444453</v>
          </cell>
          <cell r="E364" t="str">
            <v>Portoviejo</v>
          </cell>
          <cell r="F364" t="str">
            <v>Manabí</v>
          </cell>
        </row>
        <row r="365">
          <cell r="B365" t="str">
            <v>A0038</v>
          </cell>
          <cell r="C365" t="str">
            <v>VENT-4</v>
          </cell>
          <cell r="D365" t="str">
            <v>-0.97913, -79.440004</v>
          </cell>
          <cell r="E365" t="str">
            <v>Quevedo</v>
          </cell>
          <cell r="F365" t="str">
            <v>Los Ríos</v>
          </cell>
        </row>
        <row r="366">
          <cell r="B366" t="str">
            <v>A0039</v>
          </cell>
          <cell r="C366" t="str">
            <v>VENT-17</v>
          </cell>
          <cell r="D366" t="str">
            <v>-0.25710976049203, -79.204541208058</v>
          </cell>
          <cell r="E366" t="str">
            <v>Santo Domingo de los Tsachilas</v>
          </cell>
          <cell r="F366" t="str">
            <v>Santo Domingo de los Tsáchilas</v>
          </cell>
        </row>
        <row r="367">
          <cell r="B367" t="str">
            <v>A0040</v>
          </cell>
          <cell r="C367" t="str">
            <v>VENT-41</v>
          </cell>
          <cell r="D367" t="str">
            <v>-2.110533, -79.937646</v>
          </cell>
          <cell r="E367" t="str">
            <v>Guayaquil</v>
          </cell>
          <cell r="F367" t="str">
            <v>Guayas</v>
          </cell>
        </row>
        <row r="368">
          <cell r="B368" t="str">
            <v>A0041</v>
          </cell>
          <cell r="C368" t="str">
            <v>VENT-39</v>
          </cell>
          <cell r="D368" t="str">
            <v>-2.1625162274386, -79.892682835394</v>
          </cell>
          <cell r="E368" t="str">
            <v>Guayaquil</v>
          </cell>
          <cell r="F368" t="str">
            <v>Guayas</v>
          </cell>
        </row>
        <row r="369">
          <cell r="B369" t="str">
            <v>A0042</v>
          </cell>
          <cell r="C369" t="str">
            <v>VENT-6</v>
          </cell>
          <cell r="D369" t="str">
            <v>-0.946550, -80.722707</v>
          </cell>
          <cell r="E369" t="str">
            <v>Manta</v>
          </cell>
          <cell r="F369" t="str">
            <v>Manabí</v>
          </cell>
        </row>
        <row r="370">
          <cell r="B370" t="str">
            <v>A0043</v>
          </cell>
          <cell r="C370" t="str">
            <v>VENT-5</v>
          </cell>
          <cell r="D370" t="str">
            <v>-2.192288, -79.881484</v>
          </cell>
          <cell r="E370" t="str">
            <v>Guayaquil</v>
          </cell>
          <cell r="F370" t="str">
            <v>Guayas</v>
          </cell>
        </row>
        <row r="371">
          <cell r="B371" t="str">
            <v>A0044</v>
          </cell>
          <cell r="C371" t="str">
            <v>VENT-28</v>
          </cell>
          <cell r="D371" t="str">
            <v>-2.178273190523, -79.884292520168</v>
          </cell>
          <cell r="E371" t="str">
            <v>Guayaquil</v>
          </cell>
          <cell r="F371" t="str">
            <v>Guayas</v>
          </cell>
        </row>
        <row r="372">
          <cell r="B372" t="str">
            <v>A0046</v>
          </cell>
          <cell r="C372" t="str">
            <v>VENT-33</v>
          </cell>
          <cell r="D372" t="str">
            <v>-2.6981972431688, -80.248583733184</v>
          </cell>
          <cell r="E372" t="str">
            <v>Posorja</v>
          </cell>
          <cell r="F372" t="str">
            <v>Guayas</v>
          </cell>
        </row>
        <row r="373">
          <cell r="B373" t="str">
            <v>A0047</v>
          </cell>
          <cell r="C373" t="str">
            <v>VENT-43</v>
          </cell>
          <cell r="D373" t="str">
            <v>-2.0652925839496, -79.924221892204</v>
          </cell>
          <cell r="E373" t="str">
            <v>Guayaquil</v>
          </cell>
          <cell r="F373" t="str">
            <v>Guayas</v>
          </cell>
        </row>
        <row r="374">
          <cell r="B374" t="str">
            <v>A0048</v>
          </cell>
          <cell r="C374" t="str">
            <v>VENT-36</v>
          </cell>
          <cell r="D374" t="str">
            <v>-2.132507, -79.865439</v>
          </cell>
          <cell r="E374" t="str">
            <v>Samborondón</v>
          </cell>
          <cell r="F374" t="str">
            <v>Guayas</v>
          </cell>
        </row>
        <row r="375">
          <cell r="B375" t="str">
            <v>A0049</v>
          </cell>
          <cell r="C375" t="str">
            <v>VENT-30</v>
          </cell>
          <cell r="D375" t="str">
            <v>-2.15271811535, -79.885611603149</v>
          </cell>
          <cell r="E375" t="str">
            <v>Guayaquil</v>
          </cell>
          <cell r="F375" t="str">
            <v>Guayas</v>
          </cell>
        </row>
        <row r="376">
          <cell r="B376" t="str">
            <v>A0050</v>
          </cell>
          <cell r="C376" t="str">
            <v>VENT-7</v>
          </cell>
          <cell r="D376" t="str">
            <v>-2.1479507455355, -79.884499354492</v>
          </cell>
          <cell r="E376" t="str">
            <v>Guayaquil</v>
          </cell>
          <cell r="F376" t="str">
            <v>Guayas</v>
          </cell>
        </row>
        <row r="377">
          <cell r="B377" t="str">
            <v>A0051</v>
          </cell>
          <cell r="D377" t="str">
            <v>-2.1901574203831116, -79.87989160148149</v>
          </cell>
          <cell r="E377" t="str">
            <v>Guayaquil</v>
          </cell>
          <cell r="F377" t="str">
            <v>Guayas</v>
          </cell>
        </row>
        <row r="378">
          <cell r="B378" t="str">
            <v>A0052</v>
          </cell>
          <cell r="C378" t="str">
            <v>VENT-13</v>
          </cell>
          <cell r="D378" t="str">
            <v>-2.1502941296651, -79.906397733186</v>
          </cell>
          <cell r="E378" t="str">
            <v>Guayaquil</v>
          </cell>
          <cell r="F378" t="str">
            <v>Guayas</v>
          </cell>
        </row>
        <row r="379">
          <cell r="B379" t="str">
            <v>A0053</v>
          </cell>
          <cell r="C379" t="str">
            <v>VENT-10</v>
          </cell>
          <cell r="D379" t="str">
            <v>-2.226104, -79.889969</v>
          </cell>
          <cell r="E379" t="str">
            <v>Guayaquil</v>
          </cell>
          <cell r="F379" t="str">
            <v>Guayas</v>
          </cell>
        </row>
        <row r="380">
          <cell r="B380" t="str">
            <v>A0054</v>
          </cell>
          <cell r="C380" t="str">
            <v>VENT-9</v>
          </cell>
          <cell r="D380" t="str">
            <v>-2.0928561683107, -79.911859219574</v>
          </cell>
          <cell r="E380" t="str">
            <v>Guayaquil</v>
          </cell>
          <cell r="F380" t="str">
            <v>Guayas</v>
          </cell>
        </row>
        <row r="381">
          <cell r="B381" t="str">
            <v>A0055</v>
          </cell>
          <cell r="C381" t="str">
            <v>VENT-11</v>
          </cell>
          <cell r="D381" t="str">
            <v>-2.1276126973558, -79.906743559525</v>
          </cell>
          <cell r="E381" t="str">
            <v>Guayaquil</v>
          </cell>
          <cell r="F381" t="str">
            <v>Guayas</v>
          </cell>
        </row>
        <row r="382">
          <cell r="B382" t="str">
            <v>A0056</v>
          </cell>
          <cell r="C382" t="str">
            <v>VENT-22</v>
          </cell>
          <cell r="D382" t="str">
            <v>-0.999635, -79.467502</v>
          </cell>
          <cell r="E382" t="str">
            <v>Quevedo</v>
          </cell>
          <cell r="F382" t="str">
            <v>Los Ríos</v>
          </cell>
        </row>
        <row r="383">
          <cell r="B383" t="str">
            <v>A0057</v>
          </cell>
          <cell r="C383" t="str">
            <v>VENT-35</v>
          </cell>
          <cell r="D383" t="str">
            <v>-2.241638, -79.894834</v>
          </cell>
          <cell r="E383" t="str">
            <v>Guayaquil</v>
          </cell>
          <cell r="F383" t="str">
            <v>Guayas</v>
          </cell>
        </row>
        <row r="384">
          <cell r="B384" t="str">
            <v>A0058</v>
          </cell>
          <cell r="C384" t="str">
            <v>SN-3</v>
          </cell>
          <cell r="D384" t="str">
            <v>-2.1759177515176, -79.884177649715</v>
          </cell>
          <cell r="E384" t="str">
            <v>Guayaquil</v>
          </cell>
          <cell r="F384" t="str">
            <v>Guayas</v>
          </cell>
        </row>
        <row r="385">
          <cell r="B385" t="str">
            <v>A0059</v>
          </cell>
          <cell r="C385" t="str">
            <v>VENT-29</v>
          </cell>
          <cell r="D385" t="str">
            <v>-2.1093123468678, -79.948822486491</v>
          </cell>
          <cell r="E385" t="str">
            <v>Guayaquil</v>
          </cell>
          <cell r="F385" t="str">
            <v>Guayas</v>
          </cell>
        </row>
        <row r="386">
          <cell r="B386" t="str">
            <v>A0060</v>
          </cell>
          <cell r="C386" t="str">
            <v>VENT-38</v>
          </cell>
          <cell r="D386" t="str">
            <v>-2.2105501598945, -79.437369056319</v>
          </cell>
          <cell r="E386" t="str">
            <v>Coronel Marcelino Maridueña</v>
          </cell>
          <cell r="F386" t="str">
            <v>Guayas</v>
          </cell>
        </row>
        <row r="387">
          <cell r="B387" t="str">
            <v>A0061</v>
          </cell>
          <cell r="C387" t="str">
            <v>VENT-31</v>
          </cell>
          <cell r="D387" t="str">
            <v>-1.8266960736485, -80.753190150188</v>
          </cell>
          <cell r="E387" t="str">
            <v>Montañita</v>
          </cell>
          <cell r="F387" t="str">
            <v>Santa Elena</v>
          </cell>
        </row>
        <row r="388">
          <cell r="B388" t="str">
            <v>A0062</v>
          </cell>
          <cell r="C388" t="str">
            <v>VENT-34</v>
          </cell>
          <cell r="D388" t="str">
            <v>-2.6429693045424, -80.385091008598</v>
          </cell>
          <cell r="E388" t="str">
            <v>General Villamil Playas</v>
          </cell>
          <cell r="F388" t="str">
            <v>Guayas</v>
          </cell>
        </row>
        <row r="389">
          <cell r="B389" t="str">
            <v>A0063</v>
          </cell>
          <cell r="C389" t="str">
            <v>VENT-24</v>
          </cell>
          <cell r="D389" t="str">
            <v>-2.1433243440434, -79.864877980495</v>
          </cell>
          <cell r="E389" t="str">
            <v>Samborondón</v>
          </cell>
          <cell r="F389" t="str">
            <v>Guayas</v>
          </cell>
        </row>
        <row r="390">
          <cell r="B390" t="str">
            <v>A0064</v>
          </cell>
          <cell r="C390" t="str">
            <v>VENT-23</v>
          </cell>
          <cell r="D390" t="str">
            <v>-2.2766347583468, -79.907462393849</v>
          </cell>
          <cell r="E390" t="str">
            <v>Guayaquil</v>
          </cell>
          <cell r="F390" t="str">
            <v>Guayas</v>
          </cell>
        </row>
        <row r="391">
          <cell r="B391" t="str">
            <v>A0065</v>
          </cell>
          <cell r="C391" t="str">
            <v>VENT-25</v>
          </cell>
          <cell r="D391" t="str">
            <v>-2.1775527356936, -79.942488674591</v>
          </cell>
          <cell r="E391" t="str">
            <v>Guayaquil</v>
          </cell>
          <cell r="F391" t="str">
            <v>Guayas</v>
          </cell>
        </row>
        <row r="392">
          <cell r="B392" t="str">
            <v>A0066</v>
          </cell>
          <cell r="C392" t="str">
            <v>OF-171</v>
          </cell>
          <cell r="D392" t="str">
            <v>-2.1927731140308, -79.823755483467</v>
          </cell>
          <cell r="E392" t="str">
            <v>Durán</v>
          </cell>
          <cell r="F392" t="str">
            <v>Guayas</v>
          </cell>
        </row>
        <row r="393">
          <cell r="B393" t="str">
            <v>A0067</v>
          </cell>
          <cell r="C393" t="str">
            <v>OF-96</v>
          </cell>
          <cell r="D393" t="str">
            <v>-2.1426674740639, -79.879234608459</v>
          </cell>
          <cell r="E393" t="str">
            <v>Guayaquil</v>
          </cell>
          <cell r="F393" t="str">
            <v>Guayas</v>
          </cell>
        </row>
        <row r="394">
          <cell r="B394" t="str">
            <v>A0068</v>
          </cell>
          <cell r="C394" t="str">
            <v>VENT-42</v>
          </cell>
          <cell r="D394" t="str">
            <v>-2.0737460686847, -79.94009852982</v>
          </cell>
          <cell r="E394" t="str">
            <v>Guayaquil</v>
          </cell>
          <cell r="F394" t="str">
            <v>Guayas</v>
          </cell>
        </row>
        <row r="395">
          <cell r="B395" t="str">
            <v>A0069</v>
          </cell>
          <cell r="C395" t="str">
            <v>VENT-27</v>
          </cell>
          <cell r="D395" t="str">
            <v>-2.100086508467039, -79.93606156414486</v>
          </cell>
          <cell r="E395" t="str">
            <v>Guayaquil</v>
          </cell>
          <cell r="F395" t="str">
            <v>Guayas</v>
          </cell>
        </row>
        <row r="396">
          <cell r="B396" t="str">
            <v>A0073</v>
          </cell>
          <cell r="C396" t="str">
            <v>OF-52</v>
          </cell>
          <cell r="D396" t="str">
            <v>-0.197589, -78.489526</v>
          </cell>
          <cell r="E396" t="str">
            <v>Quito</v>
          </cell>
          <cell r="F396" t="str">
            <v>Pichincha</v>
          </cell>
        </row>
        <row r="397">
          <cell r="B397" t="str">
            <v>A0074</v>
          </cell>
          <cell r="C397" t="str">
            <v>OF-120</v>
          </cell>
          <cell r="D397" t="str">
            <v>-1.2413417400182, -78.628491327921</v>
          </cell>
          <cell r="E397" t="str">
            <v>Ambato</v>
          </cell>
          <cell r="F397" t="str">
            <v>Tungurahua</v>
          </cell>
        </row>
        <row r="398">
          <cell r="B398" t="str">
            <v>A0075</v>
          </cell>
          <cell r="C398" t="str">
            <v>OF-42</v>
          </cell>
          <cell r="D398" t="str">
            <v>-2.7378502881398, -78.846438442577</v>
          </cell>
          <cell r="E398" t="str">
            <v>Azogues</v>
          </cell>
          <cell r="F398" t="str">
            <v>Cañar</v>
          </cell>
        </row>
        <row r="399">
          <cell r="B399" t="str">
            <v>A0076</v>
          </cell>
          <cell r="C399" t="str">
            <v>OF-56</v>
          </cell>
          <cell r="D399" t="str">
            <v>-0.25220533226148, -78.523039906746</v>
          </cell>
          <cell r="E399" t="str">
            <v>Quito</v>
          </cell>
          <cell r="F399" t="str">
            <v>Pichincha</v>
          </cell>
        </row>
        <row r="400">
          <cell r="B400" t="str">
            <v>A0077</v>
          </cell>
          <cell r="C400" t="str">
            <v>OF-41</v>
          </cell>
          <cell r="D400" t="str">
            <v>-2.8980204687422, -79.002912303961</v>
          </cell>
          <cell r="E400" t="str">
            <v>Cuenca</v>
          </cell>
          <cell r="F400" t="str">
            <v>Azuay</v>
          </cell>
        </row>
        <row r="401">
          <cell r="B401" t="str">
            <v>A0078</v>
          </cell>
          <cell r="C401" t="str">
            <v>OF-169</v>
          </cell>
          <cell r="D401" t="str">
            <v>-0.10385863876508, -78.490326716394</v>
          </cell>
          <cell r="E401" t="str">
            <v>El Condado</v>
          </cell>
          <cell r="F401" t="str">
            <v>Pichincha</v>
          </cell>
        </row>
        <row r="402">
          <cell r="B402" t="str">
            <v>A0079</v>
          </cell>
          <cell r="C402" t="str">
            <v>OF-140</v>
          </cell>
          <cell r="D402" t="str">
            <v>-3.996452, -79.20356</v>
          </cell>
          <cell r="E402" t="str">
            <v>Loja</v>
          </cell>
          <cell r="F402" t="str">
            <v>Loja</v>
          </cell>
        </row>
        <row r="403">
          <cell r="B403" t="str">
            <v>A0080</v>
          </cell>
          <cell r="C403" t="str">
            <v>OF-51</v>
          </cell>
          <cell r="D403" t="str">
            <v>-0.1524604, -78.4846344</v>
          </cell>
          <cell r="E403" t="str">
            <v>Quito</v>
          </cell>
          <cell r="F403" t="str">
            <v>Pichincha</v>
          </cell>
        </row>
        <row r="404">
          <cell r="B404" t="str">
            <v>A0081</v>
          </cell>
          <cell r="C404" t="str">
            <v>OF-163</v>
          </cell>
          <cell r="D404" t="str">
            <v>-0.28519660716465, -78.543643270809</v>
          </cell>
          <cell r="E404" t="str">
            <v>Quito</v>
          </cell>
          <cell r="F404" t="str">
            <v>Pichincha</v>
          </cell>
        </row>
        <row r="405">
          <cell r="B405" t="str">
            <v>A0082</v>
          </cell>
          <cell r="C405" t="str">
            <v>OF-165</v>
          </cell>
          <cell r="D405" t="str">
            <v>-0.206033, -78.487366</v>
          </cell>
          <cell r="E405" t="str">
            <v>Quito</v>
          </cell>
          <cell r="F405" t="str">
            <v>Pichincha</v>
          </cell>
        </row>
        <row r="406">
          <cell r="B406" t="str">
            <v>A0083</v>
          </cell>
          <cell r="C406" t="str">
            <v>OF-167</v>
          </cell>
          <cell r="D406" t="str">
            <v>-0.18241667800904, -78.478438327572</v>
          </cell>
          <cell r="E406" t="str">
            <v>Quito</v>
          </cell>
          <cell r="F406" t="str">
            <v>Pichincha</v>
          </cell>
        </row>
        <row r="407">
          <cell r="B407" t="str">
            <v>A0084</v>
          </cell>
          <cell r="C407" t="str">
            <v>OF-166</v>
          </cell>
          <cell r="D407" t="str">
            <v>-0.16759569524283, -78.489494004353</v>
          </cell>
          <cell r="E407" t="str">
            <v>Quito</v>
          </cell>
          <cell r="F407" t="str">
            <v>Pichincha</v>
          </cell>
        </row>
        <row r="408">
          <cell r="B408" t="str">
            <v>A0085</v>
          </cell>
          <cell r="C408" t="str">
            <v>OF-47</v>
          </cell>
          <cell r="D408" t="str">
            <v>-2.8979883430347, -79.018494097602</v>
          </cell>
          <cell r="E408" t="str">
            <v>Cuenca</v>
          </cell>
          <cell r="F408" t="str">
            <v>Azuay</v>
          </cell>
        </row>
        <row r="409">
          <cell r="B409" t="str">
            <v>A0086</v>
          </cell>
          <cell r="C409" t="str">
            <v>OF-55</v>
          </cell>
          <cell r="D409" t="str">
            <v>-0.30797568986608, -78.449547381615</v>
          </cell>
          <cell r="E409" t="str">
            <v>Sangolquí</v>
          </cell>
          <cell r="F409" t="str">
            <v>Pichincha</v>
          </cell>
        </row>
        <row r="410">
          <cell r="B410" t="str">
            <v>A0087</v>
          </cell>
          <cell r="C410" t="str">
            <v>OF-164</v>
          </cell>
          <cell r="D410" t="str">
            <v>-0.198908, -78.436092</v>
          </cell>
          <cell r="E410" t="str">
            <v>Cumbaya</v>
          </cell>
          <cell r="F410" t="str">
            <v>Pichincha</v>
          </cell>
        </row>
        <row r="411">
          <cell r="B411" t="str">
            <v>A0088</v>
          </cell>
          <cell r="C411" t="str">
            <v>OF-40</v>
          </cell>
          <cell r="D411" t="str">
            <v>-2.905424, -79.003303</v>
          </cell>
          <cell r="E411" t="str">
            <v>Cuenca</v>
          </cell>
          <cell r="F411" t="str">
            <v>Azuay</v>
          </cell>
        </row>
        <row r="412">
          <cell r="B412" t="str">
            <v>A0089</v>
          </cell>
          <cell r="C412" t="str">
            <v>OF-50</v>
          </cell>
          <cell r="D412" t="str">
            <v>-0.17596927121457, -78.482782898148</v>
          </cell>
          <cell r="E412" t="str">
            <v>Quito</v>
          </cell>
          <cell r="F412" t="str">
            <v>Pichincha</v>
          </cell>
        </row>
        <row r="413">
          <cell r="B413" t="str">
            <v>A0090</v>
          </cell>
          <cell r="C413" t="str">
            <v>VENT-14</v>
          </cell>
          <cell r="D413" t="str">
            <v>-2.881478, -78.975129</v>
          </cell>
          <cell r="E413" t="str">
            <v>Cuenca</v>
          </cell>
          <cell r="F413" t="str">
            <v>Azuay</v>
          </cell>
        </row>
        <row r="414">
          <cell r="B414" t="str">
            <v>A0091</v>
          </cell>
          <cell r="C414" t="str">
            <v>VENT-21</v>
          </cell>
          <cell r="D414" t="str">
            <v>-0.30416769242810987, -78.54273899138401</v>
          </cell>
          <cell r="E414" t="str">
            <v>Quito</v>
          </cell>
          <cell r="F414" t="str">
            <v>Pichincha</v>
          </cell>
        </row>
        <row r="415">
          <cell r="B415" t="str">
            <v>A0092</v>
          </cell>
          <cell r="C415" t="str">
            <v>VENT-19</v>
          </cell>
          <cell r="D415" t="str">
            <v>-0.10572923708953, -78.443399190862</v>
          </cell>
          <cell r="E415" t="str">
            <v>Carapungo</v>
          </cell>
          <cell r="F415" t="str">
            <v>Pichincha</v>
          </cell>
        </row>
        <row r="416">
          <cell r="B416" t="str">
            <v>A0097</v>
          </cell>
          <cell r="C416" t="str">
            <v>VENT-20</v>
          </cell>
          <cell r="D416" t="str">
            <v>-0.34977342693034, -78.458460733189</v>
          </cell>
          <cell r="E416" t="str">
            <v>Sangolquí</v>
          </cell>
          <cell r="F416" t="str">
            <v>Pichincha</v>
          </cell>
        </row>
        <row r="417">
          <cell r="B417" t="str">
            <v>A0098</v>
          </cell>
          <cell r="C417" t="str">
            <v>OF-168</v>
          </cell>
          <cell r="D417" t="str">
            <v>-0.10817009322543, -78.458035635582</v>
          </cell>
          <cell r="E417" t="str">
            <v>Carapungo</v>
          </cell>
          <cell r="F417" t="str">
            <v>Pichincha</v>
          </cell>
        </row>
        <row r="418">
          <cell r="B418" t="str">
            <v>A0099</v>
          </cell>
          <cell r="C418" t="str">
            <v>OF-121</v>
          </cell>
          <cell r="D418" t="str">
            <v>-1.2639733631127, -78.64012797686</v>
          </cell>
          <cell r="E418" t="str">
            <v>Ambato</v>
          </cell>
          <cell r="F418" t="str">
            <v>Tungurahua</v>
          </cell>
        </row>
        <row r="419">
          <cell r="B419" t="str">
            <v>A0100</v>
          </cell>
          <cell r="C419" t="str">
            <v>VENT-15</v>
          </cell>
          <cell r="D419" t="str">
            <v>0.276139, -78.239348</v>
          </cell>
          <cell r="E419" t="str">
            <v>San Juan deI lumán</v>
          </cell>
          <cell r="F419" t="str">
            <v>Imbabura</v>
          </cell>
        </row>
        <row r="420">
          <cell r="B420" t="str">
            <v>A0101</v>
          </cell>
          <cell r="C420" t="str">
            <v>VENT-1</v>
          </cell>
          <cell r="D420" t="str">
            <v>-2.1902874256513, -79.886598144368</v>
          </cell>
          <cell r="E420" t="str">
            <v>Guayaquil</v>
          </cell>
          <cell r="F420" t="str">
            <v>Guayas</v>
          </cell>
        </row>
        <row r="421">
          <cell r="B421" t="str">
            <v>A0102</v>
          </cell>
          <cell r="C421" t="str">
            <v>OF</v>
          </cell>
          <cell r="D421" t="str">
            <v>-2.145196, -79.863519</v>
          </cell>
          <cell r="E421" t="str">
            <v>Samborondón</v>
          </cell>
          <cell r="F421" t="str">
            <v>Guayas</v>
          </cell>
        </row>
        <row r="422">
          <cell r="B422" t="str">
            <v>A0105</v>
          </cell>
          <cell r="C422" t="str">
            <v>VENT-86.1</v>
          </cell>
          <cell r="D422" t="str">
            <v>-2.182177307418713, -79.90253473254785</v>
          </cell>
          <cell r="E422" t="str">
            <v>Guayaquil</v>
          </cell>
          <cell r="F422" t="str">
            <v>Guayas</v>
          </cell>
        </row>
        <row r="423">
          <cell r="B423" t="str">
            <v>A0106</v>
          </cell>
          <cell r="C423" t="str">
            <v>VENT-164.1</v>
          </cell>
          <cell r="D423" t="str">
            <v>-0.196763, -78.435913</v>
          </cell>
          <cell r="E423" t="str">
            <v>Cumbaya</v>
          </cell>
          <cell r="F423" t="str">
            <v>Pichincha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9"/>
  <sheetViews>
    <sheetView tabSelected="1" zoomScaleNormal="100" workbookViewId="0">
      <pane ySplit="1" topLeftCell="A58" activePane="bottomLeft" state="frozen"/>
      <selection pane="bottomLeft" activeCell="B1" sqref="B1"/>
    </sheetView>
  </sheetViews>
  <sheetFormatPr baseColWidth="10" defaultRowHeight="12.75" x14ac:dyDescent="0.2"/>
  <cols>
    <col min="1" max="1" width="15"/>
    <col min="2" max="2" width="46" bestFit="1" customWidth="1"/>
    <col min="3" max="3" width="15"/>
    <col min="5" max="10" width="15"/>
    <col min="12" max="13" width="15"/>
    <col min="14" max="14" width="11.42578125" customWidth="1"/>
    <col min="15" max="15" width="21.28515625" customWidth="1"/>
    <col min="16" max="16" width="11.42578125" customWidth="1"/>
    <col min="17" max="17" width="32.42578125" customWidth="1"/>
    <col min="18" max="18" width="19" customWidth="1"/>
    <col min="19" max="21" width="15"/>
    <col min="22" max="22" width="26.28515625" customWidth="1"/>
    <col min="23" max="27" width="15"/>
    <col min="28" max="28" width="35.5703125" customWidth="1"/>
    <col min="29" max="1027" width="15"/>
  </cols>
  <sheetData>
    <row r="1" spans="1:27" x14ac:dyDescent="0.2">
      <c r="A1" s="1" t="s">
        <v>0</v>
      </c>
      <c r="B1" t="s">
        <v>1</v>
      </c>
      <c r="C1" t="s">
        <v>2</v>
      </c>
      <c r="D1" t="s">
        <v>1969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1896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1923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1921</v>
      </c>
    </row>
    <row r="2" spans="1:27" x14ac:dyDescent="0.2">
      <c r="A2" s="1" t="s">
        <v>23</v>
      </c>
      <c r="B2" t="s">
        <v>24</v>
      </c>
      <c r="C2" t="s">
        <v>25</v>
      </c>
      <c r="D2" t="s">
        <v>153</v>
      </c>
      <c r="E2" t="s">
        <v>26</v>
      </c>
      <c r="F2" t="s">
        <v>2</v>
      </c>
      <c r="G2" t="s">
        <v>27</v>
      </c>
      <c r="H2" t="s">
        <v>28</v>
      </c>
      <c r="I2" t="s">
        <v>29</v>
      </c>
      <c r="J2" t="str">
        <f>+VLOOKUP(A2,[1]Buscador!$B:$E,4,0)</f>
        <v>Quito</v>
      </c>
      <c r="K2" t="str">
        <f>+VLOOKUP(A2,[1]Buscador!$B:$F,5,0)</f>
        <v>Pichincha</v>
      </c>
      <c r="L2" t="s">
        <v>31</v>
      </c>
      <c r="O2" t="s">
        <v>32</v>
      </c>
      <c r="P2" t="s">
        <v>33</v>
      </c>
      <c r="Q2" t="s">
        <v>34</v>
      </c>
      <c r="R2" t="s">
        <v>153</v>
      </c>
      <c r="S2" t="s">
        <v>34</v>
      </c>
      <c r="T2" t="s">
        <v>35</v>
      </c>
      <c r="U2" t="s">
        <v>36</v>
      </c>
      <c r="V2" t="s">
        <v>37</v>
      </c>
      <c r="W2">
        <v>-0.20603299999999999</v>
      </c>
      <c r="X2">
        <v>-78.487365999999994</v>
      </c>
      <c r="Y2">
        <v>0</v>
      </c>
      <c r="Z2">
        <f>+VLOOKUP(I2,Evalua!$G$2:$H$12,2,0)</f>
        <v>2</v>
      </c>
      <c r="AA2">
        <f>+VLOOKUP(I2,Evalua!$G$2:$H$12,2,0)</f>
        <v>2</v>
      </c>
    </row>
    <row r="3" spans="1:27" x14ac:dyDescent="0.2">
      <c r="A3" s="1" t="s">
        <v>38</v>
      </c>
      <c r="B3" t="s">
        <v>34</v>
      </c>
      <c r="C3" t="s">
        <v>34</v>
      </c>
      <c r="D3" t="s">
        <v>153</v>
      </c>
      <c r="E3" t="s">
        <v>26</v>
      </c>
      <c r="F3" t="s">
        <v>39</v>
      </c>
      <c r="G3" t="s">
        <v>27</v>
      </c>
      <c r="H3" t="s">
        <v>28</v>
      </c>
      <c r="I3" t="s">
        <v>29</v>
      </c>
      <c r="J3" t="str">
        <f>+VLOOKUP(A3,[1]Buscador!$B:$E,4,0)</f>
        <v>Quito</v>
      </c>
      <c r="K3" t="str">
        <f>+VLOOKUP(A3,[1]Buscador!$B:$F,5,0)</f>
        <v>Pichincha</v>
      </c>
      <c r="L3" t="s">
        <v>31</v>
      </c>
      <c r="O3" t="s">
        <v>32</v>
      </c>
      <c r="P3" t="s">
        <v>33</v>
      </c>
      <c r="Q3" t="s">
        <v>34</v>
      </c>
      <c r="R3" t="s">
        <v>153</v>
      </c>
      <c r="S3" t="s">
        <v>40</v>
      </c>
      <c r="T3" t="s">
        <v>41</v>
      </c>
      <c r="U3" t="s">
        <v>42</v>
      </c>
      <c r="V3" t="s">
        <v>37</v>
      </c>
      <c r="W3">
        <v>-0.20603299999999999</v>
      </c>
      <c r="X3">
        <v>-78.487365999999994</v>
      </c>
      <c r="Y3">
        <v>0</v>
      </c>
      <c r="Z3">
        <f>+VLOOKUP(H3,Evalua!$G$2:$H$12,2,0)</f>
        <v>1</v>
      </c>
      <c r="AA3">
        <f>+VLOOKUP(I3,Evalua!$G$2:$H$12,2,0)</f>
        <v>2</v>
      </c>
    </row>
    <row r="4" spans="1:27" x14ac:dyDescent="0.2">
      <c r="A4" s="1" t="s">
        <v>43</v>
      </c>
      <c r="B4" t="s">
        <v>44</v>
      </c>
      <c r="C4" t="s">
        <v>45</v>
      </c>
      <c r="D4" t="s">
        <v>153</v>
      </c>
      <c r="E4" t="s">
        <v>26</v>
      </c>
      <c r="F4" t="s">
        <v>2</v>
      </c>
      <c r="G4" t="s">
        <v>46</v>
      </c>
      <c r="H4" t="s">
        <v>28</v>
      </c>
      <c r="I4" t="s">
        <v>29</v>
      </c>
      <c r="J4" t="str">
        <f>+VLOOKUP(A4,[1]Buscador!$B:$E,4,0)</f>
        <v>Guayaquil</v>
      </c>
      <c r="K4" t="str">
        <f>+VLOOKUP(A4,[1]Buscador!$B:$F,5,0)</f>
        <v>Guayas</v>
      </c>
      <c r="L4" t="s">
        <v>31</v>
      </c>
      <c r="O4" t="s">
        <v>32</v>
      </c>
      <c r="P4" t="s">
        <v>33</v>
      </c>
      <c r="Q4" t="s">
        <v>40</v>
      </c>
      <c r="R4" t="s">
        <v>153</v>
      </c>
      <c r="S4" t="s">
        <v>48</v>
      </c>
      <c r="T4" t="s">
        <v>49</v>
      </c>
      <c r="U4" t="s">
        <v>50</v>
      </c>
      <c r="V4" t="s">
        <v>51</v>
      </c>
      <c r="W4">
        <v>-2.1875789120000002</v>
      </c>
      <c r="X4">
        <v>-79.895072277500006</v>
      </c>
      <c r="Y4">
        <v>0</v>
      </c>
      <c r="Z4">
        <f>+VLOOKUP(H4,Evalua!$G$2:$H$12,2,0)</f>
        <v>1</v>
      </c>
      <c r="AA4">
        <f>+VLOOKUP(I4,Evalua!$G$2:$H$12,2,0)</f>
        <v>2</v>
      </c>
    </row>
    <row r="5" spans="1:27" x14ac:dyDescent="0.2">
      <c r="A5" s="1" t="s">
        <v>52</v>
      </c>
      <c r="B5" t="s">
        <v>40</v>
      </c>
      <c r="C5" t="s">
        <v>40</v>
      </c>
      <c r="D5" t="s">
        <v>153</v>
      </c>
      <c r="E5" t="s">
        <v>26</v>
      </c>
      <c r="F5" t="s">
        <v>39</v>
      </c>
      <c r="G5" t="s">
        <v>46</v>
      </c>
      <c r="H5" t="s">
        <v>28</v>
      </c>
      <c r="I5" t="s">
        <v>29</v>
      </c>
      <c r="J5" t="str">
        <f>+VLOOKUP(A5,[1]Buscador!$B:$E,4,0)</f>
        <v>Guayaquil</v>
      </c>
      <c r="K5" t="str">
        <f>+VLOOKUP(A5,[1]Buscador!$B:$F,5,0)</f>
        <v>Guayas</v>
      </c>
      <c r="L5" t="s">
        <v>31</v>
      </c>
      <c r="M5">
        <v>50</v>
      </c>
      <c r="N5">
        <v>17</v>
      </c>
      <c r="O5" t="s">
        <v>32</v>
      </c>
      <c r="P5" t="s">
        <v>33</v>
      </c>
      <c r="Q5" t="s">
        <v>40</v>
      </c>
      <c r="R5" t="s">
        <v>153</v>
      </c>
      <c r="S5" t="s">
        <v>53</v>
      </c>
      <c r="T5" t="s">
        <v>54</v>
      </c>
      <c r="U5" t="s">
        <v>55</v>
      </c>
      <c r="V5" t="s">
        <v>51</v>
      </c>
      <c r="W5">
        <v>-2.1875789120000002</v>
      </c>
      <c r="X5">
        <v>-79.895072277500006</v>
      </c>
      <c r="Y5">
        <v>0</v>
      </c>
      <c r="Z5">
        <f>+VLOOKUP(H5,Evalua!$G$2:$H$12,2,0)</f>
        <v>1</v>
      </c>
      <c r="AA5">
        <f>+VLOOKUP(I5,Evalua!$G$2:$H$12,2,0)</f>
        <v>2</v>
      </c>
    </row>
    <row r="6" spans="1:27" x14ac:dyDescent="0.2">
      <c r="A6" s="1" t="s">
        <v>56</v>
      </c>
      <c r="B6" t="s">
        <v>57</v>
      </c>
      <c r="C6" t="s">
        <v>58</v>
      </c>
      <c r="D6" t="s">
        <v>153</v>
      </c>
      <c r="E6" t="s">
        <v>26</v>
      </c>
      <c r="F6" t="s">
        <v>2</v>
      </c>
      <c r="G6" t="s">
        <v>46</v>
      </c>
      <c r="H6" t="s">
        <v>28</v>
      </c>
      <c r="I6" t="s">
        <v>29</v>
      </c>
      <c r="J6" t="str">
        <f>+VLOOKUP(A6,[1]Buscador!$B:$E,4,0)</f>
        <v>Guayaquil</v>
      </c>
      <c r="K6" t="str">
        <f>+VLOOKUP(A6,[1]Buscador!$B:$F,5,0)</f>
        <v>Guayas</v>
      </c>
      <c r="L6" t="s">
        <v>31</v>
      </c>
      <c r="O6" t="s">
        <v>32</v>
      </c>
      <c r="P6" t="s">
        <v>33</v>
      </c>
      <c r="Q6" t="s">
        <v>48</v>
      </c>
      <c r="R6" t="s">
        <v>153</v>
      </c>
      <c r="S6" t="s">
        <v>59</v>
      </c>
      <c r="T6" t="s">
        <v>60</v>
      </c>
      <c r="U6" t="s">
        <v>61</v>
      </c>
      <c r="V6" t="s">
        <v>62</v>
      </c>
      <c r="W6">
        <v>-2.1527181153999999</v>
      </c>
      <c r="X6">
        <v>-79.885611603100003</v>
      </c>
      <c r="Y6">
        <v>0</v>
      </c>
      <c r="Z6">
        <f>+VLOOKUP(H6,Evalua!$G$2:$H$12,2,0)</f>
        <v>1</v>
      </c>
      <c r="AA6">
        <f>+VLOOKUP(I6,Evalua!$G$2:$H$12,2,0)</f>
        <v>2</v>
      </c>
    </row>
    <row r="7" spans="1:27" x14ac:dyDescent="0.2">
      <c r="A7" s="1" t="s">
        <v>63</v>
      </c>
      <c r="B7" t="s">
        <v>48</v>
      </c>
      <c r="C7" t="s">
        <v>48</v>
      </c>
      <c r="D7" t="s">
        <v>153</v>
      </c>
      <c r="E7" t="s">
        <v>26</v>
      </c>
      <c r="F7" t="s">
        <v>64</v>
      </c>
      <c r="G7" t="s">
        <v>46</v>
      </c>
      <c r="H7" t="s">
        <v>28</v>
      </c>
      <c r="I7" t="s">
        <v>29</v>
      </c>
      <c r="J7" t="str">
        <f>+VLOOKUP(A7,[1]Buscador!$B:$E,4,0)</f>
        <v>Guayaquil</v>
      </c>
      <c r="K7" t="str">
        <f>+VLOOKUP(A7,[1]Buscador!$B:$F,5,0)</f>
        <v>Guayas</v>
      </c>
      <c r="L7" t="s">
        <v>31</v>
      </c>
      <c r="O7" t="s">
        <v>32</v>
      </c>
      <c r="P7" t="s">
        <v>33</v>
      </c>
      <c r="Q7" t="s">
        <v>48</v>
      </c>
      <c r="R7" t="s">
        <v>153</v>
      </c>
      <c r="S7" t="s">
        <v>65</v>
      </c>
      <c r="T7" t="s">
        <v>66</v>
      </c>
      <c r="U7" t="s">
        <v>67</v>
      </c>
      <c r="V7" t="s">
        <v>62</v>
      </c>
      <c r="W7">
        <v>-2.1527181153999999</v>
      </c>
      <c r="X7">
        <v>-79.885611603100003</v>
      </c>
      <c r="Y7">
        <v>0</v>
      </c>
      <c r="Z7">
        <f>+VLOOKUP(H7,Evalua!$G$2:$H$12,2,0)</f>
        <v>1</v>
      </c>
      <c r="AA7">
        <f>+VLOOKUP(I7,Evalua!$G$2:$H$12,2,0)</f>
        <v>2</v>
      </c>
    </row>
    <row r="8" spans="1:27" x14ac:dyDescent="0.2">
      <c r="A8" s="1" t="s">
        <v>68</v>
      </c>
      <c r="B8" t="s">
        <v>69</v>
      </c>
      <c r="C8" t="s">
        <v>58</v>
      </c>
      <c r="D8" t="s">
        <v>153</v>
      </c>
      <c r="E8" t="s">
        <v>26</v>
      </c>
      <c r="F8" t="s">
        <v>2</v>
      </c>
      <c r="G8" t="s">
        <v>46</v>
      </c>
      <c r="H8" t="s">
        <v>28</v>
      </c>
      <c r="I8" t="s">
        <v>29</v>
      </c>
      <c r="J8" t="str">
        <f>+VLOOKUP(A8,[1]Buscador!$B:$E,4,0)</f>
        <v>Guayaquil</v>
      </c>
      <c r="K8" t="str">
        <f>+VLOOKUP(A8,[1]Buscador!$B:$F,5,0)</f>
        <v>Guayas</v>
      </c>
      <c r="L8" t="s">
        <v>31</v>
      </c>
      <c r="O8" t="s">
        <v>32</v>
      </c>
      <c r="P8" t="s">
        <v>33</v>
      </c>
      <c r="Q8" t="s">
        <v>53</v>
      </c>
      <c r="R8" t="s">
        <v>153</v>
      </c>
      <c r="S8" t="s">
        <v>70</v>
      </c>
      <c r="T8" t="s">
        <v>71</v>
      </c>
      <c r="U8" t="s">
        <v>72</v>
      </c>
      <c r="V8" t="s">
        <v>73</v>
      </c>
      <c r="W8">
        <v>-2.1479507455000002</v>
      </c>
      <c r="X8">
        <v>-79.884499354499994</v>
      </c>
      <c r="Y8">
        <v>0</v>
      </c>
      <c r="Z8">
        <f>+VLOOKUP(H8,Evalua!$G$2:$H$12,2,0)</f>
        <v>1</v>
      </c>
      <c r="AA8">
        <f>+VLOOKUP(I8,Evalua!$G$2:$H$12,2,0)</f>
        <v>2</v>
      </c>
    </row>
    <row r="9" spans="1:27" x14ac:dyDescent="0.2">
      <c r="A9" s="1" t="s">
        <v>74</v>
      </c>
      <c r="B9" t="s">
        <v>53</v>
      </c>
      <c r="C9" t="s">
        <v>53</v>
      </c>
      <c r="D9" t="s">
        <v>153</v>
      </c>
      <c r="E9" t="s">
        <v>26</v>
      </c>
      <c r="F9" t="s">
        <v>64</v>
      </c>
      <c r="G9" t="s">
        <v>46</v>
      </c>
      <c r="H9" t="s">
        <v>28</v>
      </c>
      <c r="I9" t="s">
        <v>29</v>
      </c>
      <c r="J9" t="str">
        <f>+VLOOKUP(A9,[1]Buscador!$B:$E,4,0)</f>
        <v>Guayaquil</v>
      </c>
      <c r="K9" t="str">
        <f>+VLOOKUP(A9,[1]Buscador!$B:$F,5,0)</f>
        <v>Guayas</v>
      </c>
      <c r="L9" t="s">
        <v>31</v>
      </c>
      <c r="O9" t="s">
        <v>32</v>
      </c>
      <c r="P9" t="s">
        <v>33</v>
      </c>
      <c r="Q9" t="s">
        <v>53</v>
      </c>
      <c r="R9" t="s">
        <v>153</v>
      </c>
      <c r="S9" t="s">
        <v>75</v>
      </c>
      <c r="T9" t="s">
        <v>76</v>
      </c>
      <c r="U9" t="s">
        <v>77</v>
      </c>
      <c r="V9" t="s">
        <v>73</v>
      </c>
      <c r="W9">
        <v>-2.1479507455000002</v>
      </c>
      <c r="X9">
        <v>-79.884499354499994</v>
      </c>
      <c r="Y9">
        <v>0</v>
      </c>
      <c r="Z9">
        <f>+VLOOKUP(H9,Evalua!$G$2:$H$12,2,0)</f>
        <v>1</v>
      </c>
      <c r="AA9">
        <f>+VLOOKUP(I9,Evalua!$G$2:$H$12,2,0)</f>
        <v>2</v>
      </c>
    </row>
    <row r="10" spans="1:27" x14ac:dyDescent="0.2">
      <c r="A10" s="1" t="s">
        <v>78</v>
      </c>
      <c r="B10" t="s">
        <v>79</v>
      </c>
      <c r="C10" t="s">
        <v>80</v>
      </c>
      <c r="D10" t="s">
        <v>153</v>
      </c>
      <c r="E10" t="s">
        <v>26</v>
      </c>
      <c r="F10" t="s">
        <v>2</v>
      </c>
      <c r="G10" t="s">
        <v>46</v>
      </c>
      <c r="H10" t="s">
        <v>81</v>
      </c>
      <c r="I10" t="s">
        <v>29</v>
      </c>
      <c r="J10" t="str">
        <f>+VLOOKUP(A10,[1]Buscador!$B:$E,4,0)</f>
        <v>Guayaquil</v>
      </c>
      <c r="K10" t="str">
        <f>+VLOOKUP(A10,[1]Buscador!$B:$F,5,0)</f>
        <v>Guayas</v>
      </c>
      <c r="L10" t="s">
        <v>31</v>
      </c>
      <c r="O10" t="s">
        <v>82</v>
      </c>
      <c r="P10" t="s">
        <v>83</v>
      </c>
      <c r="Q10" t="s">
        <v>59</v>
      </c>
      <c r="R10" t="s">
        <v>153</v>
      </c>
      <c r="S10" t="s">
        <v>84</v>
      </c>
      <c r="T10" t="s">
        <v>85</v>
      </c>
      <c r="U10" t="s">
        <v>86</v>
      </c>
      <c r="V10" t="s">
        <v>87</v>
      </c>
      <c r="W10">
        <v>-2.1335977860000002</v>
      </c>
      <c r="X10">
        <v>-79.904058839300006</v>
      </c>
      <c r="Y10">
        <v>0</v>
      </c>
      <c r="Z10">
        <f>+VLOOKUP(H10,Evalua!$G$2:$H$12,2,0)</f>
        <v>3</v>
      </c>
      <c r="AA10">
        <f>+VLOOKUP(I10,Evalua!$G$2:$H$12,2,0)</f>
        <v>2</v>
      </c>
    </row>
    <row r="11" spans="1:27" x14ac:dyDescent="0.2">
      <c r="A11" s="1" t="s">
        <v>88</v>
      </c>
      <c r="B11" t="s">
        <v>89</v>
      </c>
      <c r="C11" t="s">
        <v>80</v>
      </c>
      <c r="D11" t="s">
        <v>153</v>
      </c>
      <c r="E11" t="s">
        <v>26</v>
      </c>
      <c r="F11" t="s">
        <v>2</v>
      </c>
      <c r="G11" t="s">
        <v>46</v>
      </c>
      <c r="H11" t="s">
        <v>81</v>
      </c>
      <c r="I11" t="s">
        <v>29</v>
      </c>
      <c r="J11" t="str">
        <f>+VLOOKUP(A11,[1]Buscador!$B:$E,4,0)</f>
        <v>Guayaquil</v>
      </c>
      <c r="K11" t="str">
        <f>+VLOOKUP(A11,[1]Buscador!$B:$F,5,0)</f>
        <v>Guayas</v>
      </c>
      <c r="L11" t="s">
        <v>31</v>
      </c>
      <c r="O11" t="s">
        <v>82</v>
      </c>
      <c r="P11" t="s">
        <v>83</v>
      </c>
      <c r="Q11" t="s">
        <v>59</v>
      </c>
      <c r="R11" t="s">
        <v>153</v>
      </c>
      <c r="S11" t="s">
        <v>90</v>
      </c>
      <c r="T11" t="s">
        <v>91</v>
      </c>
      <c r="U11" t="s">
        <v>92</v>
      </c>
      <c r="V11" t="s">
        <v>87</v>
      </c>
      <c r="W11">
        <v>-2.1335977860000002</v>
      </c>
      <c r="X11">
        <v>-79.904058839300006</v>
      </c>
      <c r="Y11">
        <v>0</v>
      </c>
      <c r="Z11">
        <f>+VLOOKUP(H11,Evalua!$G$2:$H$12,2,0)</f>
        <v>3</v>
      </c>
      <c r="AA11">
        <f>+VLOOKUP(I11,Evalua!$G$2:$H$12,2,0)</f>
        <v>2</v>
      </c>
    </row>
    <row r="12" spans="1:27" x14ac:dyDescent="0.2">
      <c r="A12" s="1" t="s">
        <v>93</v>
      </c>
      <c r="B12" t="s">
        <v>59</v>
      </c>
      <c r="C12" t="s">
        <v>59</v>
      </c>
      <c r="D12" t="s">
        <v>153</v>
      </c>
      <c r="E12" t="s">
        <v>26</v>
      </c>
      <c r="F12" t="s">
        <v>39</v>
      </c>
      <c r="G12" t="s">
        <v>46</v>
      </c>
      <c r="H12" t="s">
        <v>81</v>
      </c>
      <c r="I12" t="s">
        <v>29</v>
      </c>
      <c r="J12" t="str">
        <f>+VLOOKUP(A12,[1]Buscador!$B:$E,4,0)</f>
        <v>Guayaquil</v>
      </c>
      <c r="K12" t="str">
        <f>+VLOOKUP(A12,[1]Buscador!$B:$F,5,0)</f>
        <v>Guayas</v>
      </c>
      <c r="L12" t="s">
        <v>31</v>
      </c>
      <c r="M12">
        <v>250</v>
      </c>
      <c r="N12">
        <v>10.625</v>
      </c>
      <c r="O12" t="s">
        <v>82</v>
      </c>
      <c r="P12" t="s">
        <v>83</v>
      </c>
      <c r="Q12" t="s">
        <v>59</v>
      </c>
      <c r="R12" t="s">
        <v>153</v>
      </c>
      <c r="S12" t="s">
        <v>94</v>
      </c>
      <c r="T12" t="s">
        <v>95</v>
      </c>
      <c r="U12" t="s">
        <v>96</v>
      </c>
      <c r="V12" t="s">
        <v>87</v>
      </c>
      <c r="W12">
        <v>-2.1335977860000002</v>
      </c>
      <c r="X12">
        <v>-79.904058839300006</v>
      </c>
      <c r="Y12">
        <v>0</v>
      </c>
      <c r="Z12">
        <f>+VLOOKUP(H12,Evalua!$G$2:$H$12,2,0)</f>
        <v>3</v>
      </c>
      <c r="AA12">
        <f>+VLOOKUP(I12,Evalua!$G$2:$H$12,2,0)</f>
        <v>2</v>
      </c>
    </row>
    <row r="13" spans="1:27" x14ac:dyDescent="0.2">
      <c r="A13" s="1" t="s">
        <v>97</v>
      </c>
      <c r="B13" t="s">
        <v>65</v>
      </c>
      <c r="C13" t="s">
        <v>98</v>
      </c>
      <c r="D13" t="s">
        <v>153</v>
      </c>
      <c r="E13" t="s">
        <v>26</v>
      </c>
      <c r="F13" t="s">
        <v>99</v>
      </c>
      <c r="G13" t="s">
        <v>46</v>
      </c>
      <c r="H13" t="s">
        <v>28</v>
      </c>
      <c r="I13" t="s">
        <v>29</v>
      </c>
      <c r="J13" t="str">
        <f>+VLOOKUP(A13,[1]Buscador!$B:$E,4,0)</f>
        <v>Guayaquil</v>
      </c>
      <c r="K13" t="str">
        <f>+VLOOKUP(A13,[1]Buscador!$B:$F,5,0)</f>
        <v>Guayas</v>
      </c>
      <c r="L13" t="s">
        <v>31</v>
      </c>
      <c r="O13" t="s">
        <v>32</v>
      </c>
      <c r="P13" t="s">
        <v>33</v>
      </c>
      <c r="Q13" t="s">
        <v>65</v>
      </c>
      <c r="R13" t="s">
        <v>153</v>
      </c>
      <c r="S13" t="s">
        <v>100</v>
      </c>
      <c r="T13" t="s">
        <v>101</v>
      </c>
      <c r="U13" t="s">
        <v>102</v>
      </c>
      <c r="V13" t="s">
        <v>103</v>
      </c>
      <c r="W13">
        <v>-2.1477533986999999</v>
      </c>
      <c r="X13">
        <v>-79.8998586429</v>
      </c>
      <c r="Y13">
        <v>0</v>
      </c>
      <c r="Z13">
        <f>+VLOOKUP(H13,Evalua!$G$2:$H$12,2,0)</f>
        <v>1</v>
      </c>
      <c r="AA13">
        <f>+VLOOKUP(I13,Evalua!$G$2:$H$12,2,0)</f>
        <v>2</v>
      </c>
    </row>
    <row r="14" spans="1:27" x14ac:dyDescent="0.2">
      <c r="A14" s="1" t="s">
        <v>104</v>
      </c>
      <c r="B14" t="s">
        <v>105</v>
      </c>
      <c r="C14" t="s">
        <v>106</v>
      </c>
      <c r="D14" t="s">
        <v>153</v>
      </c>
      <c r="E14" t="s">
        <v>26</v>
      </c>
      <c r="F14" t="s">
        <v>2</v>
      </c>
      <c r="G14" t="s">
        <v>46</v>
      </c>
      <c r="H14" t="s">
        <v>28</v>
      </c>
      <c r="I14" t="s">
        <v>29</v>
      </c>
      <c r="J14" t="str">
        <f>+VLOOKUP(A14,[1]Buscador!$B:$E,4,0)</f>
        <v>Guayaquil</v>
      </c>
      <c r="K14" t="str">
        <f>+VLOOKUP(A14,[1]Buscador!$B:$F,5,0)</f>
        <v>Guayas</v>
      </c>
      <c r="L14" t="s">
        <v>31</v>
      </c>
      <c r="O14" t="s">
        <v>32</v>
      </c>
      <c r="P14" t="s">
        <v>33</v>
      </c>
      <c r="Q14" t="s">
        <v>70</v>
      </c>
      <c r="R14" t="s">
        <v>153</v>
      </c>
      <c r="S14" t="s">
        <v>107</v>
      </c>
      <c r="T14" t="s">
        <v>108</v>
      </c>
      <c r="U14" t="s">
        <v>109</v>
      </c>
      <c r="V14" t="s">
        <v>103</v>
      </c>
      <c r="W14">
        <v>-2.1477533986999999</v>
      </c>
      <c r="X14">
        <v>-79.8998586429</v>
      </c>
      <c r="Y14">
        <v>0</v>
      </c>
      <c r="Z14">
        <f>+VLOOKUP(H14,Evalua!$G$2:$H$12,2,0)</f>
        <v>1</v>
      </c>
      <c r="AA14">
        <f>+VLOOKUP(I14,Evalua!$G$2:$H$12,2,0)</f>
        <v>2</v>
      </c>
    </row>
    <row r="15" spans="1:27" x14ac:dyDescent="0.2">
      <c r="A15" s="1" t="s">
        <v>110</v>
      </c>
      <c r="B15" t="s">
        <v>111</v>
      </c>
      <c r="C15" t="s">
        <v>106</v>
      </c>
      <c r="D15" t="s">
        <v>153</v>
      </c>
      <c r="E15" t="s">
        <v>26</v>
      </c>
      <c r="F15" t="s">
        <v>2</v>
      </c>
      <c r="G15" t="s">
        <v>46</v>
      </c>
      <c r="H15" t="s">
        <v>28</v>
      </c>
      <c r="I15" t="s">
        <v>29</v>
      </c>
      <c r="J15" t="str">
        <f>+VLOOKUP(A15,[1]Buscador!$B:$E,4,0)</f>
        <v>Guayaquil</v>
      </c>
      <c r="K15" t="str">
        <f>+VLOOKUP(A15,[1]Buscador!$B:$F,5,0)</f>
        <v>Guayas</v>
      </c>
      <c r="L15" t="s">
        <v>31</v>
      </c>
      <c r="O15" t="s">
        <v>32</v>
      </c>
      <c r="P15" t="s">
        <v>33</v>
      </c>
      <c r="Q15" t="s">
        <v>70</v>
      </c>
      <c r="R15" t="s">
        <v>153</v>
      </c>
      <c r="S15" t="s">
        <v>112</v>
      </c>
      <c r="T15" t="s">
        <v>113</v>
      </c>
      <c r="U15" t="s">
        <v>114</v>
      </c>
      <c r="V15" t="s">
        <v>103</v>
      </c>
      <c r="W15">
        <v>-2.1477533986999999</v>
      </c>
      <c r="X15">
        <v>-79.8998586429</v>
      </c>
      <c r="Y15">
        <v>0</v>
      </c>
      <c r="Z15">
        <f>+VLOOKUP(H15,Evalua!$G$2:$H$12,2,0)</f>
        <v>1</v>
      </c>
      <c r="AA15">
        <f>+VLOOKUP(I15,Evalua!$G$2:$H$12,2,0)</f>
        <v>2</v>
      </c>
    </row>
    <row r="16" spans="1:27" x14ac:dyDescent="0.2">
      <c r="A16" s="1" t="s">
        <v>115</v>
      </c>
      <c r="B16" t="s">
        <v>116</v>
      </c>
      <c r="C16" t="s">
        <v>116</v>
      </c>
      <c r="D16" t="s">
        <v>153</v>
      </c>
      <c r="E16" t="s">
        <v>26</v>
      </c>
      <c r="F16" t="s">
        <v>39</v>
      </c>
      <c r="G16" t="s">
        <v>46</v>
      </c>
      <c r="H16" t="s">
        <v>28</v>
      </c>
      <c r="I16" t="s">
        <v>29</v>
      </c>
      <c r="J16" t="str">
        <f>+VLOOKUP(A16,[1]Buscador!$B:$E,4,0)</f>
        <v>Guayaquil</v>
      </c>
      <c r="K16" t="str">
        <f>+VLOOKUP(A16,[1]Buscador!$B:$F,5,0)</f>
        <v>Guayas</v>
      </c>
      <c r="L16" t="s">
        <v>31</v>
      </c>
      <c r="M16">
        <v>70</v>
      </c>
      <c r="N16">
        <v>8.2638888888888875</v>
      </c>
      <c r="O16" t="s">
        <v>32</v>
      </c>
      <c r="P16" t="s">
        <v>33</v>
      </c>
      <c r="Q16" t="s">
        <v>70</v>
      </c>
      <c r="R16" t="s">
        <v>153</v>
      </c>
      <c r="S16" t="s">
        <v>117</v>
      </c>
      <c r="T16" t="s">
        <v>118</v>
      </c>
      <c r="U16" t="s">
        <v>119</v>
      </c>
      <c r="V16" t="s">
        <v>103</v>
      </c>
      <c r="W16">
        <v>-2.1477533986999999</v>
      </c>
      <c r="X16">
        <v>-79.8998586429</v>
      </c>
      <c r="Y16">
        <v>0</v>
      </c>
      <c r="Z16">
        <f>+VLOOKUP(H16,Evalua!$G$2:$H$12,2,0)</f>
        <v>1</v>
      </c>
      <c r="AA16">
        <f>+VLOOKUP(I16,Evalua!$G$2:$H$12,2,0)</f>
        <v>2</v>
      </c>
    </row>
    <row r="17" spans="1:27" x14ac:dyDescent="0.2">
      <c r="A17" s="1" t="s">
        <v>120</v>
      </c>
      <c r="B17" t="s">
        <v>121</v>
      </c>
      <c r="C17" t="s">
        <v>122</v>
      </c>
      <c r="D17" t="s">
        <v>153</v>
      </c>
      <c r="E17" t="s">
        <v>26</v>
      </c>
      <c r="F17" t="s">
        <v>2</v>
      </c>
      <c r="G17" t="s">
        <v>27</v>
      </c>
      <c r="H17" t="s">
        <v>123</v>
      </c>
      <c r="I17" t="s">
        <v>29</v>
      </c>
      <c r="J17" t="str">
        <f>+VLOOKUP(A17,[1]Buscador!$B:$E,4,0)</f>
        <v>Ambato</v>
      </c>
      <c r="K17" t="str">
        <f>+VLOOKUP(A17,[1]Buscador!$B:$F,5,0)</f>
        <v>Tungurahua</v>
      </c>
      <c r="L17" t="s">
        <v>31</v>
      </c>
      <c r="O17" t="s">
        <v>125</v>
      </c>
      <c r="P17" t="s">
        <v>126</v>
      </c>
      <c r="Q17" t="s">
        <v>75</v>
      </c>
      <c r="R17" t="s">
        <v>153</v>
      </c>
      <c r="S17" t="s">
        <v>127</v>
      </c>
      <c r="T17" t="s">
        <v>128</v>
      </c>
      <c r="U17" t="s">
        <v>129</v>
      </c>
      <c r="V17" t="s">
        <v>130</v>
      </c>
      <c r="W17">
        <v>-1.24134174</v>
      </c>
      <c r="X17">
        <v>-78.628491327899994</v>
      </c>
      <c r="Y17">
        <v>0</v>
      </c>
      <c r="Z17">
        <f>+VLOOKUP(H17,Evalua!$G$2:$H$12,2,0)</f>
        <v>4</v>
      </c>
      <c r="AA17">
        <f>+VLOOKUP(I17,Evalua!$G$2:$H$12,2,0)</f>
        <v>2</v>
      </c>
    </row>
    <row r="18" spans="1:27" x14ac:dyDescent="0.2">
      <c r="A18" s="1" t="s">
        <v>131</v>
      </c>
      <c r="B18" t="s">
        <v>124</v>
      </c>
      <c r="C18" t="s">
        <v>124</v>
      </c>
      <c r="D18" t="s">
        <v>153</v>
      </c>
      <c r="E18" t="s">
        <v>26</v>
      </c>
      <c r="F18" t="s">
        <v>39</v>
      </c>
      <c r="G18" t="s">
        <v>27</v>
      </c>
      <c r="H18" t="s">
        <v>123</v>
      </c>
      <c r="I18" t="s">
        <v>29</v>
      </c>
      <c r="J18" t="str">
        <f>+VLOOKUP(A18,[1]Buscador!$B:$E,4,0)</f>
        <v>Ambato</v>
      </c>
      <c r="K18" t="str">
        <f>+VLOOKUP(A18,[1]Buscador!$B:$F,5,0)</f>
        <v>Tungurahua</v>
      </c>
      <c r="L18" t="s">
        <v>31</v>
      </c>
      <c r="M18">
        <v>15</v>
      </c>
      <c r="N18">
        <v>5.5434782608695654</v>
      </c>
      <c r="O18" t="s">
        <v>125</v>
      </c>
      <c r="P18" t="s">
        <v>126</v>
      </c>
      <c r="Q18" t="s">
        <v>75</v>
      </c>
      <c r="R18" t="s">
        <v>153</v>
      </c>
      <c r="S18" t="s">
        <v>132</v>
      </c>
      <c r="T18" t="s">
        <v>133</v>
      </c>
      <c r="U18" t="s">
        <v>134</v>
      </c>
      <c r="V18" t="s">
        <v>130</v>
      </c>
      <c r="W18">
        <v>-1.24134174</v>
      </c>
      <c r="X18">
        <v>-78.628491327899994</v>
      </c>
      <c r="Y18">
        <v>0</v>
      </c>
      <c r="Z18">
        <f>+VLOOKUP(H18,Evalua!$G$2:$H$12,2,0)</f>
        <v>4</v>
      </c>
      <c r="AA18">
        <f>+VLOOKUP(I18,Evalua!$G$2:$H$12,2,0)</f>
        <v>2</v>
      </c>
    </row>
    <row r="19" spans="1:27" x14ac:dyDescent="0.2">
      <c r="A19" s="1" t="s">
        <v>135</v>
      </c>
      <c r="B19" t="s">
        <v>84</v>
      </c>
      <c r="C19" t="s">
        <v>84</v>
      </c>
      <c r="D19" t="s">
        <v>153</v>
      </c>
      <c r="E19" t="s">
        <v>26</v>
      </c>
      <c r="F19" t="s">
        <v>136</v>
      </c>
      <c r="G19" t="s">
        <v>27</v>
      </c>
      <c r="H19" t="s">
        <v>28</v>
      </c>
      <c r="I19" t="s">
        <v>29</v>
      </c>
      <c r="J19" t="str">
        <f>+VLOOKUP(A19,[1]Buscador!$B:$E,4,0)</f>
        <v>Carapungo</v>
      </c>
      <c r="K19" t="str">
        <f>+VLOOKUP(A19,[1]Buscador!$B:$F,5,0)</f>
        <v>Pichincha</v>
      </c>
      <c r="L19" t="s">
        <v>31</v>
      </c>
      <c r="M19">
        <v>5</v>
      </c>
      <c r="N19">
        <v>8.5</v>
      </c>
      <c r="O19" t="s">
        <v>32</v>
      </c>
      <c r="P19" t="s">
        <v>33</v>
      </c>
      <c r="Q19" t="s">
        <v>84</v>
      </c>
      <c r="R19" t="s">
        <v>153</v>
      </c>
      <c r="S19" t="s">
        <v>137</v>
      </c>
      <c r="T19" t="s">
        <v>138</v>
      </c>
      <c r="U19" t="s">
        <v>139</v>
      </c>
      <c r="V19" t="s">
        <v>140</v>
      </c>
      <c r="W19">
        <v>-0.1057292371</v>
      </c>
      <c r="X19">
        <v>-78.443399190899996</v>
      </c>
      <c r="Y19">
        <v>0</v>
      </c>
      <c r="Z19">
        <f>+VLOOKUP(H19,Evalua!$G$2:$H$12,2,0)</f>
        <v>1</v>
      </c>
      <c r="AA19">
        <f>+VLOOKUP(I19,Evalua!$G$2:$H$12,2,0)</f>
        <v>2</v>
      </c>
    </row>
    <row r="20" spans="1:27" x14ac:dyDescent="0.2">
      <c r="A20" s="1" t="s">
        <v>141</v>
      </c>
      <c r="B20" t="s">
        <v>90</v>
      </c>
      <c r="C20" t="s">
        <v>90</v>
      </c>
      <c r="D20" t="s">
        <v>153</v>
      </c>
      <c r="E20" t="s">
        <v>26</v>
      </c>
      <c r="F20" t="s">
        <v>136</v>
      </c>
      <c r="G20" t="s">
        <v>27</v>
      </c>
      <c r="H20" t="s">
        <v>28</v>
      </c>
      <c r="I20" t="s">
        <v>29</v>
      </c>
      <c r="J20" t="str">
        <f>+VLOOKUP(A20,[1]Buscador!$B:$E,4,0)</f>
        <v>Quito</v>
      </c>
      <c r="K20" t="str">
        <f>+VLOOKUP(A20,[1]Buscador!$B:$F,5,0)</f>
        <v>Pichincha</v>
      </c>
      <c r="L20" t="s">
        <v>31</v>
      </c>
      <c r="O20" t="s">
        <v>32</v>
      </c>
      <c r="P20" t="s">
        <v>33</v>
      </c>
      <c r="Q20" t="s">
        <v>90</v>
      </c>
      <c r="R20" t="s">
        <v>153</v>
      </c>
      <c r="S20" t="s">
        <v>142</v>
      </c>
      <c r="T20" t="s">
        <v>143</v>
      </c>
      <c r="U20" t="s">
        <v>144</v>
      </c>
      <c r="V20" t="s">
        <v>145</v>
      </c>
      <c r="W20">
        <v>-0.30416769240000002</v>
      </c>
      <c r="X20">
        <v>-78.5427389914</v>
      </c>
      <c r="Y20">
        <v>0</v>
      </c>
      <c r="Z20">
        <f>+VLOOKUP(H20,Evalua!$G$2:$H$12,2,0)</f>
        <v>1</v>
      </c>
      <c r="AA20">
        <f>+VLOOKUP(I20,Evalua!$G$2:$H$12,2,0)</f>
        <v>2</v>
      </c>
    </row>
    <row r="21" spans="1:27" x14ac:dyDescent="0.2">
      <c r="A21" s="1" t="s">
        <v>146</v>
      </c>
      <c r="B21" t="s">
        <v>94</v>
      </c>
      <c r="C21" t="s">
        <v>94</v>
      </c>
      <c r="D21" t="s">
        <v>153</v>
      </c>
      <c r="E21" t="s">
        <v>26</v>
      </c>
      <c r="F21" t="s">
        <v>136</v>
      </c>
      <c r="G21" t="s">
        <v>46</v>
      </c>
      <c r="H21" t="s">
        <v>28</v>
      </c>
      <c r="I21" t="s">
        <v>29</v>
      </c>
      <c r="J21" t="str">
        <f>+VLOOKUP(A21,[1]Buscador!$B:$E,4,0)</f>
        <v>Guayaquil</v>
      </c>
      <c r="K21" t="str">
        <f>+VLOOKUP(A21,[1]Buscador!$B:$F,5,0)</f>
        <v>Guayas</v>
      </c>
      <c r="L21" t="s">
        <v>31</v>
      </c>
      <c r="O21" t="s">
        <v>32</v>
      </c>
      <c r="P21" t="s">
        <v>33</v>
      </c>
      <c r="Q21" t="s">
        <v>94</v>
      </c>
      <c r="R21" t="s">
        <v>153</v>
      </c>
      <c r="S21" t="s">
        <v>147</v>
      </c>
      <c r="T21" t="s">
        <v>148</v>
      </c>
      <c r="U21" t="s">
        <v>149</v>
      </c>
      <c r="V21" t="s">
        <v>150</v>
      </c>
      <c r="W21">
        <v>-2.1436198698000002</v>
      </c>
      <c r="X21">
        <v>-79.914839904100006</v>
      </c>
      <c r="Y21">
        <v>0</v>
      </c>
      <c r="Z21">
        <f>+VLOOKUP(H21,Evalua!$G$2:$H$12,2,0)</f>
        <v>1</v>
      </c>
      <c r="AA21">
        <f>+VLOOKUP(I21,Evalua!$G$2:$H$12,2,0)</f>
        <v>2</v>
      </c>
    </row>
    <row r="22" spans="1:27" x14ac:dyDescent="0.2">
      <c r="A22" s="1" t="s">
        <v>151</v>
      </c>
      <c r="B22" t="s">
        <v>100</v>
      </c>
      <c r="C22" t="s">
        <v>100</v>
      </c>
      <c r="D22" t="s">
        <v>153</v>
      </c>
      <c r="E22" t="s">
        <v>26</v>
      </c>
      <c r="F22" t="s">
        <v>136</v>
      </c>
      <c r="G22" t="s">
        <v>27</v>
      </c>
      <c r="H22" t="s">
        <v>28</v>
      </c>
      <c r="I22" t="s">
        <v>29</v>
      </c>
      <c r="J22" t="str">
        <f>+VLOOKUP(A22,[1]Buscador!$B:$E,4,0)</f>
        <v>San Juan deI lumán</v>
      </c>
      <c r="K22" t="str">
        <f>+VLOOKUP(A22,[1]Buscador!$B:$F,5,0)</f>
        <v>Imbabura</v>
      </c>
      <c r="L22" t="s">
        <v>153</v>
      </c>
      <c r="O22" t="s">
        <v>32</v>
      </c>
      <c r="P22" t="s">
        <v>33</v>
      </c>
      <c r="Q22" t="s">
        <v>100</v>
      </c>
      <c r="R22" t="s">
        <v>153</v>
      </c>
      <c r="S22" t="s">
        <v>154</v>
      </c>
      <c r="T22" t="s">
        <v>155</v>
      </c>
      <c r="U22" t="s">
        <v>156</v>
      </c>
      <c r="V22" t="s">
        <v>157</v>
      </c>
      <c r="W22">
        <v>0.27613900000000002</v>
      </c>
      <c r="X22">
        <v>-78.239348000000007</v>
      </c>
      <c r="Y22">
        <v>0</v>
      </c>
      <c r="Z22">
        <f>+VLOOKUP(H22,Evalua!$G$2:$H$12,2,0)</f>
        <v>1</v>
      </c>
      <c r="AA22">
        <f>+VLOOKUP(I22,Evalua!$G$2:$H$12,2,0)</f>
        <v>2</v>
      </c>
    </row>
    <row r="23" spans="1:27" x14ac:dyDescent="0.2">
      <c r="A23" s="1" t="s">
        <v>158</v>
      </c>
      <c r="B23" t="s">
        <v>107</v>
      </c>
      <c r="C23" t="s">
        <v>107</v>
      </c>
      <c r="D23" t="s">
        <v>153</v>
      </c>
      <c r="E23" t="s">
        <v>26</v>
      </c>
      <c r="F23" t="s">
        <v>136</v>
      </c>
      <c r="G23" t="s">
        <v>159</v>
      </c>
      <c r="H23" t="s">
        <v>28</v>
      </c>
      <c r="I23" t="s">
        <v>160</v>
      </c>
      <c r="J23" t="str">
        <f>+VLOOKUP(A23,[1]Buscador!$B:$E,4,0)</f>
        <v>Cuenca</v>
      </c>
      <c r="K23" t="str">
        <f>+VLOOKUP(A23,[1]Buscador!$B:$F,5,0)</f>
        <v>Azuay</v>
      </c>
      <c r="L23" t="s">
        <v>31</v>
      </c>
      <c r="O23" t="s">
        <v>162</v>
      </c>
      <c r="P23" t="s">
        <v>83</v>
      </c>
      <c r="Q23" t="s">
        <v>107</v>
      </c>
      <c r="R23" t="s">
        <v>153</v>
      </c>
      <c r="S23" t="s">
        <v>163</v>
      </c>
      <c r="T23" t="s">
        <v>164</v>
      </c>
      <c r="U23" t="s">
        <v>165</v>
      </c>
      <c r="V23" t="s">
        <v>166</v>
      </c>
      <c r="W23">
        <v>-2.881478</v>
      </c>
      <c r="X23">
        <v>-78.975128999999995</v>
      </c>
      <c r="Y23">
        <v>0</v>
      </c>
      <c r="Z23">
        <f>+VLOOKUP(H23,Evalua!$G$2:$H$12,2,0)</f>
        <v>1</v>
      </c>
      <c r="AA23">
        <f>+VLOOKUP(I23,Evalua!$G$2:$H$12,2,0)</f>
        <v>3</v>
      </c>
    </row>
    <row r="24" spans="1:27" x14ac:dyDescent="0.2">
      <c r="A24" s="1" t="s">
        <v>167</v>
      </c>
      <c r="B24" t="s">
        <v>168</v>
      </c>
      <c r="C24" t="s">
        <v>169</v>
      </c>
      <c r="D24" t="s">
        <v>153</v>
      </c>
      <c r="E24" t="s">
        <v>26</v>
      </c>
      <c r="F24" t="s">
        <v>2</v>
      </c>
      <c r="G24" t="s">
        <v>170</v>
      </c>
      <c r="H24" t="s">
        <v>123</v>
      </c>
      <c r="I24" t="s">
        <v>29</v>
      </c>
      <c r="J24" t="str">
        <f>+VLOOKUP(A24,[1]Buscador!$B:$E,4,0)</f>
        <v>Portoviejo</v>
      </c>
      <c r="K24" t="str">
        <f>+VLOOKUP(A24,[1]Buscador!$B:$F,5,0)</f>
        <v>Manabí</v>
      </c>
      <c r="L24" t="s">
        <v>31</v>
      </c>
      <c r="O24" t="s">
        <v>125</v>
      </c>
      <c r="P24" t="s">
        <v>126</v>
      </c>
      <c r="Q24" t="s">
        <v>112</v>
      </c>
      <c r="R24" t="s">
        <v>153</v>
      </c>
      <c r="S24" t="s">
        <v>172</v>
      </c>
      <c r="T24" t="s">
        <v>173</v>
      </c>
      <c r="U24" t="s">
        <v>174</v>
      </c>
      <c r="V24" t="s">
        <v>175</v>
      </c>
      <c r="W24">
        <v>-1.0733569999999999</v>
      </c>
      <c r="X24">
        <v>-80.444452999999996</v>
      </c>
      <c r="Y24">
        <v>0</v>
      </c>
      <c r="Z24">
        <f>+VLOOKUP(H24,Evalua!$G$2:$H$12,2,0)</f>
        <v>4</v>
      </c>
      <c r="AA24">
        <f>+VLOOKUP(I24,Evalua!$G$2:$H$12,2,0)</f>
        <v>2</v>
      </c>
    </row>
    <row r="25" spans="1:27" x14ac:dyDescent="0.2">
      <c r="A25" s="1" t="s">
        <v>176</v>
      </c>
      <c r="B25" t="s">
        <v>112</v>
      </c>
      <c r="C25" t="s">
        <v>112</v>
      </c>
      <c r="D25" t="s">
        <v>1970</v>
      </c>
      <c r="E25" t="s">
        <v>26</v>
      </c>
      <c r="F25" t="s">
        <v>136</v>
      </c>
      <c r="G25" t="s">
        <v>170</v>
      </c>
      <c r="H25" t="s">
        <v>123</v>
      </c>
      <c r="I25" t="s">
        <v>29</v>
      </c>
      <c r="J25" t="str">
        <f>+VLOOKUP(A25,[1]Buscador!$B:$E,4,0)</f>
        <v>Portoviejo</v>
      </c>
      <c r="K25" t="str">
        <f>+VLOOKUP(A25,[1]Buscador!$B:$F,5,0)</f>
        <v>Manabí</v>
      </c>
      <c r="L25" t="s">
        <v>31</v>
      </c>
      <c r="O25" t="s">
        <v>125</v>
      </c>
      <c r="P25" t="s">
        <v>126</v>
      </c>
      <c r="Q25" t="s">
        <v>112</v>
      </c>
      <c r="R25" t="s">
        <v>153</v>
      </c>
      <c r="S25" t="s">
        <v>177</v>
      </c>
      <c r="T25" t="s">
        <v>178</v>
      </c>
      <c r="U25" t="s">
        <v>179</v>
      </c>
      <c r="V25" t="s">
        <v>175</v>
      </c>
      <c r="W25">
        <v>-1.0733569999999999</v>
      </c>
      <c r="X25">
        <v>-80.444452999999996</v>
      </c>
      <c r="Y25">
        <v>0</v>
      </c>
      <c r="Z25">
        <f>+VLOOKUP(H25,Evalua!$G$2:$H$12,2,0)</f>
        <v>4</v>
      </c>
      <c r="AA25">
        <f>+VLOOKUP(I25,Evalua!$G$2:$H$12,2,0)</f>
        <v>2</v>
      </c>
    </row>
    <row r="26" spans="1:27" x14ac:dyDescent="0.2">
      <c r="A26" s="1" t="s">
        <v>180</v>
      </c>
      <c r="B26" t="s">
        <v>181</v>
      </c>
      <c r="C26" t="s">
        <v>182</v>
      </c>
      <c r="D26" t="s">
        <v>153</v>
      </c>
      <c r="E26" t="s">
        <v>26</v>
      </c>
      <c r="F26" t="s">
        <v>2</v>
      </c>
      <c r="G26" t="s">
        <v>183</v>
      </c>
      <c r="H26" t="s">
        <v>28</v>
      </c>
      <c r="I26" t="s">
        <v>160</v>
      </c>
      <c r="J26" t="str">
        <f>+VLOOKUP(A26,[1]Buscador!$B:$E,4,0)</f>
        <v>Quevedo</v>
      </c>
      <c r="K26" t="str">
        <f>+VLOOKUP(A26,[1]Buscador!$B:$F,5,0)</f>
        <v>Los Ríos</v>
      </c>
      <c r="L26" t="s">
        <v>31</v>
      </c>
      <c r="O26" t="s">
        <v>162</v>
      </c>
      <c r="P26" t="s">
        <v>83</v>
      </c>
      <c r="Q26" t="s">
        <v>117</v>
      </c>
      <c r="R26" t="s">
        <v>153</v>
      </c>
      <c r="S26" t="s">
        <v>185</v>
      </c>
      <c r="T26" t="s">
        <v>186</v>
      </c>
      <c r="U26" t="s">
        <v>187</v>
      </c>
      <c r="V26" t="s">
        <v>188</v>
      </c>
      <c r="W26">
        <v>-0.97912999999999994</v>
      </c>
      <c r="X26">
        <v>-79.440004000000002</v>
      </c>
      <c r="Y26">
        <v>0</v>
      </c>
      <c r="Z26">
        <f>+VLOOKUP(H26,Evalua!$G$2:$H$12,2,0)</f>
        <v>1</v>
      </c>
      <c r="AA26">
        <f>+VLOOKUP(I26,Evalua!$G$2:$H$12,2,0)</f>
        <v>3</v>
      </c>
    </row>
    <row r="27" spans="1:27" x14ac:dyDescent="0.2">
      <c r="A27" s="1" t="s">
        <v>189</v>
      </c>
      <c r="B27" t="s">
        <v>117</v>
      </c>
      <c r="C27" t="s">
        <v>117</v>
      </c>
      <c r="D27" t="s">
        <v>153</v>
      </c>
      <c r="E27" t="s">
        <v>26</v>
      </c>
      <c r="F27" t="s">
        <v>136</v>
      </c>
      <c r="G27" t="s">
        <v>183</v>
      </c>
      <c r="H27" t="s">
        <v>28</v>
      </c>
      <c r="I27" t="s">
        <v>160</v>
      </c>
      <c r="J27" t="str">
        <f>+VLOOKUP(A27,[1]Buscador!$B:$E,4,0)</f>
        <v>Quevedo</v>
      </c>
      <c r="K27" t="str">
        <f>+VLOOKUP(A27,[1]Buscador!$B:$F,5,0)</f>
        <v>Los Ríos</v>
      </c>
      <c r="L27" t="s">
        <v>31</v>
      </c>
      <c r="O27" t="s">
        <v>162</v>
      </c>
      <c r="P27" t="s">
        <v>83</v>
      </c>
      <c r="Q27" t="s">
        <v>117</v>
      </c>
      <c r="R27" t="s">
        <v>153</v>
      </c>
      <c r="S27" t="s">
        <v>190</v>
      </c>
      <c r="T27" t="s">
        <v>191</v>
      </c>
      <c r="U27" t="s">
        <v>192</v>
      </c>
      <c r="V27" t="s">
        <v>188</v>
      </c>
      <c r="W27">
        <v>-0.97912999999999994</v>
      </c>
      <c r="X27">
        <v>-79.440004000000002</v>
      </c>
      <c r="Y27">
        <v>0</v>
      </c>
      <c r="Z27">
        <f>+VLOOKUP(H27,Evalua!$G$2:$H$12,2,0)</f>
        <v>1</v>
      </c>
      <c r="AA27">
        <f>+VLOOKUP(I27,Evalua!$G$2:$H$12,2,0)</f>
        <v>3</v>
      </c>
    </row>
    <row r="28" spans="1:27" x14ac:dyDescent="0.2">
      <c r="A28" s="1" t="s">
        <v>193</v>
      </c>
      <c r="B28" t="s">
        <v>127</v>
      </c>
      <c r="C28" t="s">
        <v>127</v>
      </c>
      <c r="D28" t="s">
        <v>153</v>
      </c>
      <c r="E28" t="s">
        <v>26</v>
      </c>
      <c r="F28" t="s">
        <v>136</v>
      </c>
      <c r="G28" t="s">
        <v>194</v>
      </c>
      <c r="H28" t="s">
        <v>28</v>
      </c>
      <c r="I28" t="s">
        <v>160</v>
      </c>
      <c r="J28" t="str">
        <f>+VLOOKUP(A28,[1]Buscador!$B:$E,4,0)</f>
        <v>Santo Domingo de los Tsachilas</v>
      </c>
      <c r="K28" t="str">
        <f>+VLOOKUP(A28,[1]Buscador!$B:$F,5,0)</f>
        <v>Santo Domingo de los Tsáchilas</v>
      </c>
      <c r="L28" t="s">
        <v>31</v>
      </c>
      <c r="O28" t="s">
        <v>162</v>
      </c>
      <c r="P28" t="s">
        <v>83</v>
      </c>
      <c r="Q28" t="s">
        <v>127</v>
      </c>
      <c r="R28" t="s">
        <v>153</v>
      </c>
      <c r="S28" t="s">
        <v>196</v>
      </c>
      <c r="T28" t="s">
        <v>197</v>
      </c>
      <c r="U28" t="s">
        <v>198</v>
      </c>
      <c r="V28" t="s">
        <v>199</v>
      </c>
      <c r="W28">
        <v>-0.25710976050000001</v>
      </c>
      <c r="X28">
        <v>-79.204541208099997</v>
      </c>
      <c r="Y28">
        <v>0</v>
      </c>
      <c r="Z28">
        <f>+VLOOKUP(H28,Evalua!$G$2:$H$12,2,0)</f>
        <v>1</v>
      </c>
      <c r="AA28">
        <f>+VLOOKUP(I28,Evalua!$G$2:$H$12,2,0)</f>
        <v>3</v>
      </c>
    </row>
    <row r="29" spans="1:27" x14ac:dyDescent="0.2">
      <c r="A29" s="1" t="s">
        <v>200</v>
      </c>
      <c r="B29" t="s">
        <v>132</v>
      </c>
      <c r="C29" t="s">
        <v>132</v>
      </c>
      <c r="D29" t="s">
        <v>153</v>
      </c>
      <c r="E29" t="s">
        <v>26</v>
      </c>
      <c r="F29" t="s">
        <v>136</v>
      </c>
      <c r="G29" t="s">
        <v>46</v>
      </c>
      <c r="H29" t="s">
        <v>28</v>
      </c>
      <c r="I29" t="s">
        <v>29</v>
      </c>
      <c r="J29" t="str">
        <f>+VLOOKUP(A29,[1]Buscador!$B:$E,4,0)</f>
        <v>Guayaquil</v>
      </c>
      <c r="K29" t="str">
        <f>+VLOOKUP(A29,[1]Buscador!$B:$F,5,0)</f>
        <v>Guayas</v>
      </c>
      <c r="L29" t="s">
        <v>31</v>
      </c>
      <c r="O29" t="s">
        <v>32</v>
      </c>
      <c r="P29" t="s">
        <v>33</v>
      </c>
      <c r="Q29" t="s">
        <v>132</v>
      </c>
      <c r="R29" t="s">
        <v>153</v>
      </c>
      <c r="S29" t="s">
        <v>201</v>
      </c>
      <c r="T29" t="s">
        <v>202</v>
      </c>
      <c r="U29" t="s">
        <v>203</v>
      </c>
      <c r="V29" t="s">
        <v>204</v>
      </c>
      <c r="W29">
        <v>-2.1105330000000002</v>
      </c>
      <c r="X29">
        <v>-79.937646000000001</v>
      </c>
      <c r="Y29">
        <v>0</v>
      </c>
      <c r="Z29">
        <f>+VLOOKUP(H29,Evalua!$G$2:$H$12,2,0)</f>
        <v>1</v>
      </c>
      <c r="AA29">
        <f>+VLOOKUP(I29,Evalua!$G$2:$H$12,2,0)</f>
        <v>2</v>
      </c>
    </row>
    <row r="30" spans="1:27" x14ac:dyDescent="0.2">
      <c r="A30" s="1" t="s">
        <v>205</v>
      </c>
      <c r="B30" t="s">
        <v>137</v>
      </c>
      <c r="C30" t="s">
        <v>137</v>
      </c>
      <c r="D30" t="s">
        <v>153</v>
      </c>
      <c r="E30" t="s">
        <v>26</v>
      </c>
      <c r="F30" t="s">
        <v>136</v>
      </c>
      <c r="G30" t="s">
        <v>206</v>
      </c>
      <c r="H30" t="s">
        <v>81</v>
      </c>
      <c r="I30" t="s">
        <v>160</v>
      </c>
      <c r="J30" t="str">
        <f>+VLOOKUP(A30,[1]Buscador!$B:$E,4,0)</f>
        <v>Machala</v>
      </c>
      <c r="K30" t="str">
        <f>+VLOOKUP(A30,[1]Buscador!$B:$F,5,0)</f>
        <v>El Oro</v>
      </c>
      <c r="L30" t="s">
        <v>31</v>
      </c>
      <c r="O30" t="s">
        <v>208</v>
      </c>
      <c r="P30" t="s">
        <v>126</v>
      </c>
      <c r="Q30" t="s">
        <v>137</v>
      </c>
      <c r="R30" t="s">
        <v>153</v>
      </c>
      <c r="S30" t="s">
        <v>209</v>
      </c>
      <c r="T30" t="s">
        <v>210</v>
      </c>
      <c r="U30" t="s">
        <v>211</v>
      </c>
      <c r="V30" t="s">
        <v>212</v>
      </c>
      <c r="W30">
        <v>-3.274044</v>
      </c>
      <c r="X30">
        <v>-79.935957000000002</v>
      </c>
      <c r="Y30">
        <v>0</v>
      </c>
      <c r="Z30">
        <f>+VLOOKUP(H30,Evalua!$G$2:$H$12,2,0)</f>
        <v>3</v>
      </c>
      <c r="AA30">
        <f>+VLOOKUP(I30,Evalua!$G$2:$H$12,2,0)</f>
        <v>3</v>
      </c>
    </row>
    <row r="31" spans="1:27" x14ac:dyDescent="0.2">
      <c r="A31" s="1" t="s">
        <v>213</v>
      </c>
      <c r="B31" t="s">
        <v>142</v>
      </c>
      <c r="C31" t="s">
        <v>98</v>
      </c>
      <c r="D31" t="s">
        <v>153</v>
      </c>
      <c r="E31" t="s">
        <v>26</v>
      </c>
      <c r="F31" t="s">
        <v>99</v>
      </c>
      <c r="G31" t="s">
        <v>27</v>
      </c>
      <c r="H31" t="s">
        <v>81</v>
      </c>
      <c r="I31" t="s">
        <v>29</v>
      </c>
      <c r="J31" t="str">
        <f>+VLOOKUP(A31,[1]Buscador!$B:$E,4,0)</f>
        <v>Quito</v>
      </c>
      <c r="K31" t="str">
        <f>+VLOOKUP(A31,[1]Buscador!$B:$F,5,0)</f>
        <v>Pichincha</v>
      </c>
      <c r="L31" t="s">
        <v>153</v>
      </c>
      <c r="O31" t="s">
        <v>82</v>
      </c>
      <c r="P31" t="s">
        <v>83</v>
      </c>
      <c r="Q31" t="s">
        <v>142</v>
      </c>
      <c r="R31" t="s">
        <v>153</v>
      </c>
      <c r="S31" t="s">
        <v>214</v>
      </c>
      <c r="T31" t="s">
        <v>215</v>
      </c>
      <c r="U31" t="s">
        <v>216</v>
      </c>
      <c r="V31" t="s">
        <v>217</v>
      </c>
      <c r="W31">
        <v>-0.15862200000000001</v>
      </c>
      <c r="X31">
        <v>-78.488167000000004</v>
      </c>
      <c r="Y31">
        <v>0</v>
      </c>
      <c r="Z31">
        <f>+VLOOKUP(H31,Evalua!$G$2:$H$12,2,0)</f>
        <v>3</v>
      </c>
      <c r="AA31">
        <f>+VLOOKUP(I31,Evalua!$G$2:$H$12,2,0)</f>
        <v>2</v>
      </c>
    </row>
    <row r="32" spans="1:27" x14ac:dyDescent="0.2">
      <c r="A32" s="1" t="s">
        <v>218</v>
      </c>
      <c r="B32" t="s">
        <v>147</v>
      </c>
      <c r="C32" t="s">
        <v>98</v>
      </c>
      <c r="D32" t="s">
        <v>153</v>
      </c>
      <c r="E32" t="s">
        <v>26</v>
      </c>
      <c r="F32" t="s">
        <v>99</v>
      </c>
      <c r="G32" t="s">
        <v>46</v>
      </c>
      <c r="H32" t="s">
        <v>28</v>
      </c>
      <c r="I32" t="s">
        <v>29</v>
      </c>
      <c r="J32" t="str">
        <f>+VLOOKUP(A32,[1]Buscador!$B:$E,4,0)</f>
        <v>Samborondón</v>
      </c>
      <c r="K32" t="str">
        <f>+VLOOKUP(A32,[1]Buscador!$B:$F,5,0)</f>
        <v>Guayas</v>
      </c>
      <c r="L32" t="s">
        <v>31</v>
      </c>
      <c r="O32" t="s">
        <v>32</v>
      </c>
      <c r="P32" t="s">
        <v>33</v>
      </c>
      <c r="Q32" t="s">
        <v>147</v>
      </c>
      <c r="R32" t="s">
        <v>153</v>
      </c>
      <c r="S32" t="s">
        <v>219</v>
      </c>
      <c r="T32" t="s">
        <v>220</v>
      </c>
      <c r="U32" t="s">
        <v>221</v>
      </c>
      <c r="V32" t="s">
        <v>222</v>
      </c>
      <c r="W32">
        <v>-2.1321674385999998</v>
      </c>
      <c r="X32">
        <v>-79.863631417199997</v>
      </c>
      <c r="Y32">
        <v>0</v>
      </c>
      <c r="Z32">
        <f>+VLOOKUP(H32,Evalua!$G$2:$H$12,2,0)</f>
        <v>1</v>
      </c>
      <c r="AA32">
        <f>+VLOOKUP(I32,Evalua!$G$2:$H$12,2,0)</f>
        <v>2</v>
      </c>
    </row>
    <row r="33" spans="1:27" x14ac:dyDescent="0.2">
      <c r="A33" s="1" t="s">
        <v>223</v>
      </c>
      <c r="B33" t="s">
        <v>154</v>
      </c>
      <c r="C33" t="s">
        <v>98</v>
      </c>
      <c r="D33" t="s">
        <v>153</v>
      </c>
      <c r="E33" t="s">
        <v>26</v>
      </c>
      <c r="F33" t="s">
        <v>99</v>
      </c>
      <c r="G33" t="s">
        <v>46</v>
      </c>
      <c r="H33" t="s">
        <v>28</v>
      </c>
      <c r="I33" t="s">
        <v>29</v>
      </c>
      <c r="J33" t="str">
        <f>+VLOOKUP(A33,[1]Buscador!$B:$E,4,0)</f>
        <v>Samborondón</v>
      </c>
      <c r="K33" t="str">
        <f>+VLOOKUP(A33,[1]Buscador!$B:$F,5,0)</f>
        <v>Guayas</v>
      </c>
      <c r="L33" t="s">
        <v>31</v>
      </c>
      <c r="O33" t="s">
        <v>32</v>
      </c>
      <c r="P33" t="s">
        <v>33</v>
      </c>
      <c r="Q33" t="s">
        <v>154</v>
      </c>
      <c r="R33" t="s">
        <v>153</v>
      </c>
      <c r="S33" t="s">
        <v>224</v>
      </c>
      <c r="T33" t="s">
        <v>225</v>
      </c>
      <c r="U33" t="s">
        <v>226</v>
      </c>
      <c r="V33" t="s">
        <v>227</v>
      </c>
      <c r="W33">
        <v>-2.0371272618999998</v>
      </c>
      <c r="X33">
        <v>-79.849024494999995</v>
      </c>
      <c r="Y33">
        <v>0</v>
      </c>
      <c r="Z33">
        <f>+VLOOKUP(H33,Evalua!$G$2:$H$12,2,0)</f>
        <v>1</v>
      </c>
      <c r="AA33">
        <f>+VLOOKUP(I33,Evalua!$G$2:$H$12,2,0)</f>
        <v>2</v>
      </c>
    </row>
    <row r="34" spans="1:27" x14ac:dyDescent="0.2">
      <c r="A34" s="1" t="s">
        <v>228</v>
      </c>
      <c r="B34" t="s">
        <v>163</v>
      </c>
      <c r="C34" t="s">
        <v>98</v>
      </c>
      <c r="D34" t="s">
        <v>153</v>
      </c>
      <c r="E34" t="s">
        <v>26</v>
      </c>
      <c r="F34" t="s">
        <v>99</v>
      </c>
      <c r="G34" t="s">
        <v>27</v>
      </c>
      <c r="H34" t="s">
        <v>28</v>
      </c>
      <c r="I34" t="s">
        <v>29</v>
      </c>
      <c r="J34" t="str">
        <f>+VLOOKUP(A34,[1]Buscador!$B:$E,4,0)</f>
        <v>Quito</v>
      </c>
      <c r="K34" t="str">
        <f>+VLOOKUP(A34,[1]Buscador!$B:$F,5,0)</f>
        <v>Pichincha</v>
      </c>
      <c r="L34" t="s">
        <v>31</v>
      </c>
      <c r="O34" t="s">
        <v>32</v>
      </c>
      <c r="P34" t="s">
        <v>33</v>
      </c>
      <c r="Q34" t="s">
        <v>163</v>
      </c>
      <c r="R34" t="s">
        <v>153</v>
      </c>
      <c r="S34" t="s">
        <v>229</v>
      </c>
      <c r="T34" t="s">
        <v>230</v>
      </c>
      <c r="U34" t="s">
        <v>231</v>
      </c>
      <c r="V34" t="s">
        <v>232</v>
      </c>
      <c r="W34">
        <v>-0.15343833909999999</v>
      </c>
      <c r="X34">
        <v>-78.478335088999998</v>
      </c>
      <c r="Y34">
        <v>0</v>
      </c>
      <c r="Z34">
        <f>+VLOOKUP(H34,Evalua!$G$2:$H$12,2,0)</f>
        <v>1</v>
      </c>
      <c r="AA34">
        <f>+VLOOKUP(I34,Evalua!$G$2:$H$12,2,0)</f>
        <v>2</v>
      </c>
    </row>
    <row r="35" spans="1:27" x14ac:dyDescent="0.2">
      <c r="A35" s="1" t="s">
        <v>233</v>
      </c>
      <c r="B35" t="s">
        <v>172</v>
      </c>
      <c r="C35" t="s">
        <v>98</v>
      </c>
      <c r="D35" t="s">
        <v>153</v>
      </c>
      <c r="E35" t="s">
        <v>26</v>
      </c>
      <c r="F35" t="s">
        <v>99</v>
      </c>
      <c r="G35" t="s">
        <v>46</v>
      </c>
      <c r="H35" t="s">
        <v>81</v>
      </c>
      <c r="I35" t="s">
        <v>234</v>
      </c>
      <c r="J35" t="str">
        <f>+VLOOKUP(A35,[1]Buscador!$B:$E,4,0)</f>
        <v>Guayaquil</v>
      </c>
      <c r="K35" t="str">
        <f>+VLOOKUP(A35,[1]Buscador!$B:$F,5,0)</f>
        <v>Guayas</v>
      </c>
      <c r="L35" t="s">
        <v>31</v>
      </c>
      <c r="O35" t="s">
        <v>235</v>
      </c>
      <c r="P35" t="s">
        <v>33</v>
      </c>
      <c r="Q35" t="s">
        <v>172</v>
      </c>
      <c r="R35" t="s">
        <v>153</v>
      </c>
      <c r="S35" t="s">
        <v>236</v>
      </c>
      <c r="T35" t="s">
        <v>237</v>
      </c>
      <c r="U35" t="s">
        <v>238</v>
      </c>
      <c r="V35" t="s">
        <v>239</v>
      </c>
      <c r="W35">
        <v>-2.1429930000000001</v>
      </c>
      <c r="X35">
        <v>-79.916595000000001</v>
      </c>
      <c r="Y35">
        <v>0</v>
      </c>
      <c r="Z35">
        <f>+VLOOKUP(H35,Evalua!$G$2:$H$12,2,0)</f>
        <v>3</v>
      </c>
      <c r="AA35">
        <f>+VLOOKUP(I35,Evalua!$G$2:$H$12,2,0)</f>
        <v>1</v>
      </c>
    </row>
    <row r="36" spans="1:27" x14ac:dyDescent="0.2">
      <c r="A36" s="1" t="s">
        <v>240</v>
      </c>
      <c r="B36" t="s">
        <v>177</v>
      </c>
      <c r="C36" t="s">
        <v>98</v>
      </c>
      <c r="D36" t="s">
        <v>153</v>
      </c>
      <c r="E36" t="s">
        <v>26</v>
      </c>
      <c r="F36" t="s">
        <v>99</v>
      </c>
      <c r="G36" t="s">
        <v>27</v>
      </c>
      <c r="H36" t="s">
        <v>28</v>
      </c>
      <c r="I36" t="s">
        <v>29</v>
      </c>
      <c r="J36" t="str">
        <f>+VLOOKUP(A36,[1]Buscador!$B:$E,4,0)</f>
        <v>Carapungo</v>
      </c>
      <c r="K36" t="str">
        <f>+VLOOKUP(A36,[1]Buscador!$B:$F,5,0)</f>
        <v>Pichincha</v>
      </c>
      <c r="L36" t="s">
        <v>31</v>
      </c>
      <c r="O36" t="s">
        <v>32</v>
      </c>
      <c r="P36" t="s">
        <v>33</v>
      </c>
      <c r="Q36" t="s">
        <v>177</v>
      </c>
      <c r="R36" t="s">
        <v>153</v>
      </c>
      <c r="S36" t="s">
        <v>241</v>
      </c>
      <c r="T36" t="s">
        <v>242</v>
      </c>
      <c r="U36" t="s">
        <v>243</v>
      </c>
      <c r="V36" t="s">
        <v>244</v>
      </c>
      <c r="W36">
        <v>-0.108239</v>
      </c>
      <c r="X36">
        <v>-78.446055000000001</v>
      </c>
      <c r="Y36">
        <v>0</v>
      </c>
      <c r="Z36">
        <f>+VLOOKUP(H36,Evalua!$G$2:$H$12,2,0)</f>
        <v>1</v>
      </c>
      <c r="AA36">
        <f>+VLOOKUP(I36,Evalua!$G$2:$H$12,2,0)</f>
        <v>2</v>
      </c>
    </row>
    <row r="37" spans="1:27" x14ac:dyDescent="0.2">
      <c r="A37" s="1" t="s">
        <v>245</v>
      </c>
      <c r="B37" t="s">
        <v>185</v>
      </c>
      <c r="C37" t="s">
        <v>246</v>
      </c>
      <c r="D37" t="s">
        <v>153</v>
      </c>
      <c r="E37" t="s">
        <v>26</v>
      </c>
      <c r="F37" t="s">
        <v>99</v>
      </c>
      <c r="G37" t="s">
        <v>194</v>
      </c>
      <c r="H37" t="s">
        <v>28</v>
      </c>
      <c r="I37" t="s">
        <v>160</v>
      </c>
      <c r="J37" t="str">
        <f>+VLOOKUP(A37,[1]Buscador!$B:$E,4,0)</f>
        <v>Santo Domingo de los Tsachilas</v>
      </c>
      <c r="K37" t="str">
        <f>+VLOOKUP(A37,[1]Buscador!$B:$F,5,0)</f>
        <v>Santo Domingo de los Tsáchilas</v>
      </c>
      <c r="L37" t="s">
        <v>31</v>
      </c>
      <c r="O37" t="s">
        <v>162</v>
      </c>
      <c r="P37" t="s">
        <v>83</v>
      </c>
      <c r="Q37" t="s">
        <v>185</v>
      </c>
      <c r="R37" t="s">
        <v>153</v>
      </c>
      <c r="S37" t="s">
        <v>247</v>
      </c>
      <c r="T37" t="s">
        <v>248</v>
      </c>
      <c r="U37" t="s">
        <v>249</v>
      </c>
      <c r="V37" t="s">
        <v>250</v>
      </c>
      <c r="W37">
        <v>-0.25714475260000003</v>
      </c>
      <c r="X37">
        <v>-79.203967335900003</v>
      </c>
      <c r="Y37">
        <v>0</v>
      </c>
      <c r="Z37">
        <f>+VLOOKUP(H37,Evalua!$G$2:$H$12,2,0)</f>
        <v>1</v>
      </c>
      <c r="AA37">
        <f>+VLOOKUP(I37,Evalua!$G$2:$H$12,2,0)</f>
        <v>3</v>
      </c>
    </row>
    <row r="38" spans="1:27" x14ac:dyDescent="0.2">
      <c r="A38" s="1" t="s">
        <v>251</v>
      </c>
      <c r="B38" t="s">
        <v>190</v>
      </c>
      <c r="C38" t="s">
        <v>98</v>
      </c>
      <c r="D38" t="s">
        <v>153</v>
      </c>
      <c r="E38" t="s">
        <v>26</v>
      </c>
      <c r="F38" t="s">
        <v>99</v>
      </c>
      <c r="G38" t="s">
        <v>46</v>
      </c>
      <c r="H38" t="s">
        <v>81</v>
      </c>
      <c r="I38" t="s">
        <v>234</v>
      </c>
      <c r="J38" t="str">
        <f>+VLOOKUP(A38,[1]Buscador!$B:$E,4,0)</f>
        <v>Guayaquil</v>
      </c>
      <c r="K38" t="str">
        <f>+VLOOKUP(A38,[1]Buscador!$B:$F,5,0)</f>
        <v>Guayas</v>
      </c>
      <c r="L38" t="s">
        <v>31</v>
      </c>
      <c r="O38" t="s">
        <v>235</v>
      </c>
      <c r="P38" t="s">
        <v>33</v>
      </c>
      <c r="Q38" t="s">
        <v>190</v>
      </c>
      <c r="R38" t="s">
        <v>153</v>
      </c>
      <c r="S38" t="s">
        <v>252</v>
      </c>
      <c r="T38" t="s">
        <v>253</v>
      </c>
      <c r="U38" t="s">
        <v>254</v>
      </c>
      <c r="V38" t="s">
        <v>204</v>
      </c>
      <c r="W38">
        <v>-2.1105330000000002</v>
      </c>
      <c r="X38">
        <v>-79.937646000000001</v>
      </c>
      <c r="Y38">
        <v>0</v>
      </c>
      <c r="Z38">
        <f>+VLOOKUP(H38,Evalua!$G$2:$H$12,2,0)</f>
        <v>3</v>
      </c>
      <c r="AA38">
        <f>+VLOOKUP(I38,Evalua!$G$2:$H$12,2,0)</f>
        <v>1</v>
      </c>
    </row>
    <row r="39" spans="1:27" x14ac:dyDescent="0.2">
      <c r="A39" s="1" t="s">
        <v>255</v>
      </c>
      <c r="B39" t="s">
        <v>196</v>
      </c>
      <c r="C39" t="s">
        <v>98</v>
      </c>
      <c r="D39" t="s">
        <v>153</v>
      </c>
      <c r="E39" t="s">
        <v>26</v>
      </c>
      <c r="F39" t="s">
        <v>99</v>
      </c>
      <c r="G39" t="s">
        <v>46</v>
      </c>
      <c r="H39" t="s">
        <v>28</v>
      </c>
      <c r="I39" t="s">
        <v>29</v>
      </c>
      <c r="J39" t="str">
        <f>+VLOOKUP(A39,[1]Buscador!$B:$E,4,0)</f>
        <v>Guayaquil</v>
      </c>
      <c r="K39" t="str">
        <f>+VLOOKUP(A39,[1]Buscador!$B:$F,5,0)</f>
        <v>Guayas</v>
      </c>
      <c r="L39" t="s">
        <v>31</v>
      </c>
      <c r="O39" t="s">
        <v>32</v>
      </c>
      <c r="P39" t="s">
        <v>33</v>
      </c>
      <c r="Q39" t="s">
        <v>196</v>
      </c>
      <c r="R39" t="s">
        <v>153</v>
      </c>
      <c r="S39" t="s">
        <v>256</v>
      </c>
      <c r="T39" t="s">
        <v>257</v>
      </c>
      <c r="U39" t="s">
        <v>258</v>
      </c>
      <c r="V39" t="s">
        <v>259</v>
      </c>
      <c r="W39">
        <v>-2.1770491363</v>
      </c>
      <c r="X39">
        <v>-79.883544288400003</v>
      </c>
      <c r="Y39">
        <v>0</v>
      </c>
      <c r="Z39">
        <f>+VLOOKUP(H39,Evalua!$G$2:$H$12,2,0)</f>
        <v>1</v>
      </c>
      <c r="AA39">
        <f>+VLOOKUP(I39,Evalua!$G$2:$H$12,2,0)</f>
        <v>2</v>
      </c>
    </row>
    <row r="40" spans="1:27" x14ac:dyDescent="0.2">
      <c r="A40" s="1" t="s">
        <v>260</v>
      </c>
      <c r="B40" t="s">
        <v>201</v>
      </c>
      <c r="C40" t="s">
        <v>98</v>
      </c>
      <c r="D40" t="s">
        <v>153</v>
      </c>
      <c r="E40" t="s">
        <v>26</v>
      </c>
      <c r="F40" t="s">
        <v>99</v>
      </c>
      <c r="G40" t="s">
        <v>27</v>
      </c>
      <c r="H40" t="s">
        <v>28</v>
      </c>
      <c r="I40" t="s">
        <v>29</v>
      </c>
      <c r="J40" t="str">
        <f>+VLOOKUP(A40,[1]Buscador!$B:$E,4,0)</f>
        <v>Quito</v>
      </c>
      <c r="K40" t="str">
        <f>+VLOOKUP(A40,[1]Buscador!$B:$F,5,0)</f>
        <v>Pichincha</v>
      </c>
      <c r="L40" t="s">
        <v>31</v>
      </c>
      <c r="O40" t="s">
        <v>32</v>
      </c>
      <c r="P40" t="s">
        <v>33</v>
      </c>
      <c r="Q40" t="s">
        <v>201</v>
      </c>
      <c r="R40" t="s">
        <v>153</v>
      </c>
      <c r="S40" t="s">
        <v>261</v>
      </c>
      <c r="T40" t="s">
        <v>262</v>
      </c>
      <c r="U40" t="s">
        <v>263</v>
      </c>
      <c r="V40" t="s">
        <v>264</v>
      </c>
      <c r="W40">
        <v>-0.3109935861</v>
      </c>
      <c r="X40">
        <v>-78.564567968999995</v>
      </c>
      <c r="Y40">
        <v>0</v>
      </c>
      <c r="Z40">
        <f>+VLOOKUP(H40,Evalua!$G$2:$H$12,2,0)</f>
        <v>1</v>
      </c>
      <c r="AA40">
        <f>+VLOOKUP(I40,Evalua!$G$2:$H$12,2,0)</f>
        <v>2</v>
      </c>
    </row>
    <row r="41" spans="1:27" x14ac:dyDescent="0.2">
      <c r="A41" s="1" t="s">
        <v>265</v>
      </c>
      <c r="B41" t="s">
        <v>209</v>
      </c>
      <c r="C41" t="s">
        <v>98</v>
      </c>
      <c r="D41" t="s">
        <v>153</v>
      </c>
      <c r="E41" t="s">
        <v>26</v>
      </c>
      <c r="F41" t="s">
        <v>99</v>
      </c>
      <c r="G41" t="s">
        <v>46</v>
      </c>
      <c r="H41" t="s">
        <v>28</v>
      </c>
      <c r="I41" t="s">
        <v>29</v>
      </c>
      <c r="J41" t="str">
        <f>+VLOOKUP(A41,[1]Buscador!$B:$E,4,0)</f>
        <v>Guayaquil</v>
      </c>
      <c r="K41" t="str">
        <f>+VLOOKUP(A41,[1]Buscador!$B:$F,5,0)</f>
        <v>Guayas</v>
      </c>
      <c r="L41" t="s">
        <v>31</v>
      </c>
      <c r="O41" t="s">
        <v>32</v>
      </c>
      <c r="P41" t="s">
        <v>33</v>
      </c>
      <c r="Q41" t="s">
        <v>209</v>
      </c>
      <c r="R41" t="s">
        <v>153</v>
      </c>
      <c r="S41" t="s">
        <v>266</v>
      </c>
      <c r="T41" t="s">
        <v>267</v>
      </c>
      <c r="U41" t="s">
        <v>268</v>
      </c>
      <c r="V41" t="s">
        <v>269</v>
      </c>
      <c r="W41">
        <v>-2.1203334693999998</v>
      </c>
      <c r="X41">
        <v>-79.900600195099997</v>
      </c>
      <c r="Y41">
        <v>0</v>
      </c>
      <c r="Z41">
        <f>+VLOOKUP(H41,Evalua!$G$2:$H$12,2,0)</f>
        <v>1</v>
      </c>
      <c r="AA41">
        <f>+VLOOKUP(I41,Evalua!$G$2:$H$12,2,0)</f>
        <v>2</v>
      </c>
    </row>
    <row r="42" spans="1:27" x14ac:dyDescent="0.2">
      <c r="A42" s="1" t="s">
        <v>270</v>
      </c>
      <c r="B42" t="s">
        <v>214</v>
      </c>
      <c r="C42" t="s">
        <v>98</v>
      </c>
      <c r="D42" t="s">
        <v>153</v>
      </c>
      <c r="E42" t="s">
        <v>26</v>
      </c>
      <c r="F42" t="s">
        <v>99</v>
      </c>
      <c r="G42" t="s">
        <v>183</v>
      </c>
      <c r="H42" t="s">
        <v>81</v>
      </c>
      <c r="I42" t="s">
        <v>160</v>
      </c>
      <c r="J42" t="str">
        <f>+VLOOKUP(A42,[1]Buscador!$B:$E,4,0)</f>
        <v>Babahoyo</v>
      </c>
      <c r="K42" t="str">
        <f>+VLOOKUP(A42,[1]Buscador!$B:$F,5,0)</f>
        <v>Los Ríos</v>
      </c>
      <c r="L42" t="s">
        <v>31</v>
      </c>
      <c r="O42" t="s">
        <v>208</v>
      </c>
      <c r="P42" t="s">
        <v>126</v>
      </c>
      <c r="Q42" t="s">
        <v>214</v>
      </c>
      <c r="R42" t="s">
        <v>153</v>
      </c>
      <c r="S42" t="s">
        <v>272</v>
      </c>
      <c r="T42" t="s">
        <v>273</v>
      </c>
      <c r="U42" t="s">
        <v>274</v>
      </c>
      <c r="V42" t="s">
        <v>275</v>
      </c>
      <c r="W42">
        <v>-1.799965</v>
      </c>
      <c r="X42">
        <v>-79.531699000000003</v>
      </c>
      <c r="Y42">
        <v>0</v>
      </c>
      <c r="Z42">
        <f>+VLOOKUP(H42,Evalua!$G$2:$H$12,2,0)</f>
        <v>3</v>
      </c>
      <c r="AA42">
        <f>+VLOOKUP(I42,Evalua!$G$2:$H$12,2,0)</f>
        <v>3</v>
      </c>
    </row>
    <row r="43" spans="1:27" x14ac:dyDescent="0.2">
      <c r="A43" s="1" t="s">
        <v>276</v>
      </c>
      <c r="B43" t="s">
        <v>219</v>
      </c>
      <c r="C43" t="s">
        <v>98</v>
      </c>
      <c r="D43" t="s">
        <v>153</v>
      </c>
      <c r="E43" t="s">
        <v>26</v>
      </c>
      <c r="F43" t="s">
        <v>99</v>
      </c>
      <c r="G43" t="s">
        <v>46</v>
      </c>
      <c r="H43" t="s">
        <v>28</v>
      </c>
      <c r="I43" t="s">
        <v>29</v>
      </c>
      <c r="J43" t="str">
        <f>+VLOOKUP(A43,[1]Buscador!$B:$E,4,0)</f>
        <v>Guayaquil</v>
      </c>
      <c r="K43" t="str">
        <f>+VLOOKUP(A43,[1]Buscador!$B:$F,5,0)</f>
        <v>Guayas</v>
      </c>
      <c r="L43" t="s">
        <v>31</v>
      </c>
      <c r="O43" t="s">
        <v>32</v>
      </c>
      <c r="P43" t="s">
        <v>33</v>
      </c>
      <c r="Q43" t="s">
        <v>219</v>
      </c>
      <c r="R43" t="s">
        <v>153</v>
      </c>
      <c r="S43" t="s">
        <v>277</v>
      </c>
      <c r="T43" t="s">
        <v>278</v>
      </c>
      <c r="U43" t="s">
        <v>279</v>
      </c>
      <c r="V43" t="s">
        <v>280</v>
      </c>
      <c r="W43">
        <v>-2.1391045728</v>
      </c>
      <c r="X43">
        <v>-79.908231034400004</v>
      </c>
      <c r="Y43">
        <v>0</v>
      </c>
      <c r="Z43">
        <f>+VLOOKUP(H43,Evalua!$G$2:$H$12,2,0)</f>
        <v>1</v>
      </c>
      <c r="AA43">
        <f>+VLOOKUP(I43,Evalua!$G$2:$H$12,2,0)</f>
        <v>2</v>
      </c>
    </row>
    <row r="44" spans="1:27" x14ac:dyDescent="0.2">
      <c r="A44" s="1" t="s">
        <v>281</v>
      </c>
      <c r="B44" t="s">
        <v>224</v>
      </c>
      <c r="C44" t="s">
        <v>98</v>
      </c>
      <c r="D44" t="s">
        <v>153</v>
      </c>
      <c r="E44" t="s">
        <v>26</v>
      </c>
      <c r="F44" t="s">
        <v>99</v>
      </c>
      <c r="G44" t="s">
        <v>46</v>
      </c>
      <c r="H44" t="s">
        <v>28</v>
      </c>
      <c r="I44" t="s">
        <v>29</v>
      </c>
      <c r="J44" t="str">
        <f>+VLOOKUP(A44,[1]Buscador!$B:$E,4,0)</f>
        <v>Guayaquil</v>
      </c>
      <c r="K44" t="str">
        <f>+VLOOKUP(A44,[1]Buscador!$B:$F,5,0)</f>
        <v>Guayas</v>
      </c>
      <c r="L44" t="s">
        <v>153</v>
      </c>
      <c r="O44" t="s">
        <v>32</v>
      </c>
      <c r="P44" t="s">
        <v>33</v>
      </c>
      <c r="Q44" t="s">
        <v>224</v>
      </c>
      <c r="R44" t="s">
        <v>153</v>
      </c>
      <c r="S44" t="s">
        <v>282</v>
      </c>
      <c r="T44" t="s">
        <v>283</v>
      </c>
      <c r="U44" t="s">
        <v>284</v>
      </c>
      <c r="V44" t="s">
        <v>285</v>
      </c>
      <c r="W44">
        <v>-2.1975819992000001</v>
      </c>
      <c r="X44">
        <v>-79.880894022999996</v>
      </c>
      <c r="Y44">
        <v>0</v>
      </c>
      <c r="Z44">
        <f>+VLOOKUP(H44,Evalua!$G$2:$H$12,2,0)</f>
        <v>1</v>
      </c>
      <c r="AA44">
        <f>+VLOOKUP(I44,Evalua!$G$2:$H$12,2,0)</f>
        <v>2</v>
      </c>
    </row>
    <row r="45" spans="1:27" x14ac:dyDescent="0.2">
      <c r="A45" s="1" t="s">
        <v>286</v>
      </c>
      <c r="B45" t="s">
        <v>229</v>
      </c>
      <c r="C45" t="s">
        <v>98</v>
      </c>
      <c r="D45" t="s">
        <v>153</v>
      </c>
      <c r="E45" t="s">
        <v>26</v>
      </c>
      <c r="F45" t="s">
        <v>99</v>
      </c>
      <c r="G45" t="s">
        <v>46</v>
      </c>
      <c r="H45" t="s">
        <v>28</v>
      </c>
      <c r="I45" t="s">
        <v>29</v>
      </c>
      <c r="J45" t="str">
        <f>+VLOOKUP(A45,[1]Buscador!$B:$E,4,0)</f>
        <v>Guayaquil</v>
      </c>
      <c r="K45" t="str">
        <f>+VLOOKUP(A45,[1]Buscador!$B:$F,5,0)</f>
        <v>Guayas</v>
      </c>
      <c r="L45" t="s">
        <v>153</v>
      </c>
      <c r="O45" t="s">
        <v>32</v>
      </c>
      <c r="P45" t="s">
        <v>33</v>
      </c>
      <c r="Q45" t="s">
        <v>229</v>
      </c>
      <c r="R45" t="s">
        <v>153</v>
      </c>
      <c r="S45" t="s">
        <v>287</v>
      </c>
      <c r="T45" t="s">
        <v>288</v>
      </c>
      <c r="U45" t="s">
        <v>289</v>
      </c>
      <c r="V45" t="s">
        <v>290</v>
      </c>
      <c r="W45">
        <v>-2.0639911781000002</v>
      </c>
      <c r="X45">
        <v>-79.908123080699994</v>
      </c>
      <c r="Y45">
        <v>0</v>
      </c>
      <c r="Z45">
        <f>+VLOOKUP(H45,Evalua!$G$2:$H$12,2,0)</f>
        <v>1</v>
      </c>
      <c r="AA45">
        <f>+VLOOKUP(I45,Evalua!$G$2:$H$12,2,0)</f>
        <v>2</v>
      </c>
    </row>
    <row r="46" spans="1:27" x14ac:dyDescent="0.2">
      <c r="A46" s="1" t="s">
        <v>291</v>
      </c>
      <c r="B46" t="s">
        <v>236</v>
      </c>
      <c r="C46" t="s">
        <v>98</v>
      </c>
      <c r="D46" t="s">
        <v>153</v>
      </c>
      <c r="E46" t="s">
        <v>26</v>
      </c>
      <c r="F46" t="s">
        <v>99</v>
      </c>
      <c r="G46" t="s">
        <v>46</v>
      </c>
      <c r="H46" t="s">
        <v>28</v>
      </c>
      <c r="I46" t="s">
        <v>29</v>
      </c>
      <c r="J46" t="str">
        <f>+VLOOKUP(A46,[1]Buscador!$B:$E,4,0)</f>
        <v>La Libertad</v>
      </c>
      <c r="K46" t="str">
        <f>+VLOOKUP(A46,[1]Buscador!$B:$F,5,0)</f>
        <v>Santa Elena</v>
      </c>
      <c r="L46" t="s">
        <v>31</v>
      </c>
      <c r="O46" t="s">
        <v>32</v>
      </c>
      <c r="P46" t="s">
        <v>33</v>
      </c>
      <c r="Q46" t="s">
        <v>236</v>
      </c>
      <c r="R46" t="s">
        <v>1922</v>
      </c>
      <c r="S46" t="s">
        <v>293</v>
      </c>
      <c r="T46" t="s">
        <v>294</v>
      </c>
      <c r="U46" t="s">
        <v>295</v>
      </c>
      <c r="V46" t="s">
        <v>296</v>
      </c>
      <c r="W46">
        <v>-2.2259149907000002</v>
      </c>
      <c r="X46">
        <v>-80.921130024500002</v>
      </c>
      <c r="Y46">
        <v>0</v>
      </c>
      <c r="Z46">
        <f>+VLOOKUP(H46,Evalua!$G$2:$H$12,2,0)</f>
        <v>1</v>
      </c>
      <c r="AA46">
        <f>+VLOOKUP(I46,Evalua!$G$2:$H$12,2,0)</f>
        <v>2</v>
      </c>
    </row>
    <row r="47" spans="1:27" x14ac:dyDescent="0.2">
      <c r="A47" s="1" t="s">
        <v>297</v>
      </c>
      <c r="B47" t="s">
        <v>241</v>
      </c>
      <c r="C47" t="s">
        <v>98</v>
      </c>
      <c r="D47" t="s">
        <v>153</v>
      </c>
      <c r="E47" t="s">
        <v>26</v>
      </c>
      <c r="F47" t="s">
        <v>99</v>
      </c>
      <c r="G47" t="s">
        <v>170</v>
      </c>
      <c r="H47" t="s">
        <v>28</v>
      </c>
      <c r="I47" t="s">
        <v>29</v>
      </c>
      <c r="J47" t="str">
        <f>+VLOOKUP(A47,[1]Buscador!$B:$E,4,0)</f>
        <v>Manta</v>
      </c>
      <c r="K47" t="str">
        <f>+VLOOKUP(A47,[1]Buscador!$B:$F,5,0)</f>
        <v>Manabí</v>
      </c>
      <c r="L47" t="s">
        <v>31</v>
      </c>
      <c r="O47" t="s">
        <v>32</v>
      </c>
      <c r="P47" t="s">
        <v>33</v>
      </c>
      <c r="Q47" t="s">
        <v>241</v>
      </c>
      <c r="R47" t="s">
        <v>153</v>
      </c>
      <c r="S47" t="s">
        <v>299</v>
      </c>
      <c r="T47" t="s">
        <v>300</v>
      </c>
      <c r="U47" t="s">
        <v>301</v>
      </c>
      <c r="V47" t="s">
        <v>302</v>
      </c>
      <c r="W47">
        <v>-0.96635436269999997</v>
      </c>
      <c r="X47">
        <v>-80.705825555299995</v>
      </c>
      <c r="Y47">
        <v>0</v>
      </c>
      <c r="Z47">
        <f>+VLOOKUP(H47,Evalua!$G$2:$H$12,2,0)</f>
        <v>1</v>
      </c>
      <c r="AA47">
        <f>+VLOOKUP(I47,Evalua!$G$2:$H$12,2,0)</f>
        <v>2</v>
      </c>
    </row>
    <row r="48" spans="1:27" x14ac:dyDescent="0.2">
      <c r="A48" s="1" t="s">
        <v>303</v>
      </c>
      <c r="B48" t="s">
        <v>247</v>
      </c>
      <c r="C48" t="s">
        <v>98</v>
      </c>
      <c r="D48" t="s">
        <v>153</v>
      </c>
      <c r="E48" t="s">
        <v>26</v>
      </c>
      <c r="F48" t="s">
        <v>99</v>
      </c>
      <c r="G48" t="s">
        <v>46</v>
      </c>
      <c r="H48" t="s">
        <v>28</v>
      </c>
      <c r="I48" t="s">
        <v>29</v>
      </c>
      <c r="J48" t="str">
        <f>+VLOOKUP(A48,[1]Buscador!$B:$E,4,0)</f>
        <v>Milagro</v>
      </c>
      <c r="K48" t="str">
        <f>+VLOOKUP(A48,[1]Buscador!$B:$F,5,0)</f>
        <v>Guayas</v>
      </c>
      <c r="L48" t="s">
        <v>31</v>
      </c>
      <c r="O48" t="s">
        <v>32</v>
      </c>
      <c r="P48" t="s">
        <v>33</v>
      </c>
      <c r="Q48" t="s">
        <v>247</v>
      </c>
      <c r="R48" t="s">
        <v>153</v>
      </c>
      <c r="S48" t="s">
        <v>305</v>
      </c>
      <c r="T48" t="s">
        <v>306</v>
      </c>
      <c r="U48" t="s">
        <v>307</v>
      </c>
      <c r="V48" t="s">
        <v>308</v>
      </c>
      <c r="W48">
        <v>-2.1364964621000002</v>
      </c>
      <c r="X48">
        <v>-79.594431549600003</v>
      </c>
      <c r="Y48">
        <v>0</v>
      </c>
      <c r="Z48">
        <f>+VLOOKUP(H48,Evalua!$G$2:$H$12,2,0)</f>
        <v>1</v>
      </c>
      <c r="AA48">
        <f>+VLOOKUP(I48,Evalua!$G$2:$H$12,2,0)</f>
        <v>2</v>
      </c>
    </row>
    <row r="49" spans="1:27" x14ac:dyDescent="0.2">
      <c r="A49" s="1" t="s">
        <v>309</v>
      </c>
      <c r="B49" t="s">
        <v>252</v>
      </c>
      <c r="C49" t="s">
        <v>98</v>
      </c>
      <c r="D49" t="s">
        <v>153</v>
      </c>
      <c r="E49" t="s">
        <v>26</v>
      </c>
      <c r="F49" t="s">
        <v>99</v>
      </c>
      <c r="G49" t="s">
        <v>170</v>
      </c>
      <c r="H49" t="s">
        <v>81</v>
      </c>
      <c r="I49" t="s">
        <v>29</v>
      </c>
      <c r="J49" t="str">
        <f>+VLOOKUP(A49,[1]Buscador!$B:$E,4,0)</f>
        <v>Portoviejo</v>
      </c>
      <c r="K49" t="str">
        <f>+VLOOKUP(A49,[1]Buscador!$B:$F,5,0)</f>
        <v>Manabí</v>
      </c>
      <c r="L49" t="s">
        <v>31</v>
      </c>
      <c r="O49" t="s">
        <v>82</v>
      </c>
      <c r="P49" t="s">
        <v>83</v>
      </c>
      <c r="Q49" t="s">
        <v>252</v>
      </c>
      <c r="R49" t="s">
        <v>153</v>
      </c>
      <c r="S49" t="s">
        <v>310</v>
      </c>
      <c r="T49" t="s">
        <v>311</v>
      </c>
      <c r="U49" t="s">
        <v>312</v>
      </c>
      <c r="V49" t="s">
        <v>313</v>
      </c>
      <c r="W49">
        <v>-1.0611303680999999</v>
      </c>
      <c r="X49">
        <v>-80.465528737400007</v>
      </c>
      <c r="Y49">
        <v>0</v>
      </c>
      <c r="Z49">
        <f>+VLOOKUP(H49,Evalua!$G$2:$H$12,2,0)</f>
        <v>3</v>
      </c>
      <c r="AA49">
        <f>+VLOOKUP(I49,Evalua!$G$2:$H$12,2,0)</f>
        <v>2</v>
      </c>
    </row>
    <row r="50" spans="1:27" x14ac:dyDescent="0.2">
      <c r="A50" s="1" t="s">
        <v>314</v>
      </c>
      <c r="B50" t="s">
        <v>256</v>
      </c>
      <c r="C50" t="s">
        <v>98</v>
      </c>
      <c r="D50" t="s">
        <v>153</v>
      </c>
      <c r="E50" t="s">
        <v>26</v>
      </c>
      <c r="F50" t="s">
        <v>99</v>
      </c>
      <c r="G50" t="s">
        <v>46</v>
      </c>
      <c r="H50" t="s">
        <v>28</v>
      </c>
      <c r="I50" t="s">
        <v>29</v>
      </c>
      <c r="J50" t="str">
        <f>+VLOOKUP(A50,[1]Buscador!$B:$E,4,0)</f>
        <v>Samborondón</v>
      </c>
      <c r="K50" t="str">
        <f>+VLOOKUP(A50,[1]Buscador!$B:$F,5,0)</f>
        <v>Guayas</v>
      </c>
      <c r="L50" t="s">
        <v>31</v>
      </c>
      <c r="O50" t="s">
        <v>32</v>
      </c>
      <c r="P50" t="s">
        <v>33</v>
      </c>
      <c r="Q50" t="s">
        <v>256</v>
      </c>
      <c r="R50" t="s">
        <v>153</v>
      </c>
      <c r="S50" t="s">
        <v>315</v>
      </c>
      <c r="T50" t="s">
        <v>316</v>
      </c>
      <c r="U50" t="s">
        <v>317</v>
      </c>
      <c r="V50" t="s">
        <v>318</v>
      </c>
      <c r="W50">
        <v>-2.1297677392000001</v>
      </c>
      <c r="X50">
        <v>-79.864119169299997</v>
      </c>
      <c r="Y50">
        <v>0</v>
      </c>
      <c r="Z50">
        <f>+VLOOKUP(H50,Evalua!$G$2:$H$12,2,0)</f>
        <v>1</v>
      </c>
      <c r="AA50">
        <f>+VLOOKUP(I50,Evalua!$G$2:$H$12,2,0)</f>
        <v>2</v>
      </c>
    </row>
    <row r="51" spans="1:27" x14ac:dyDescent="0.2">
      <c r="A51" s="1" t="s">
        <v>319</v>
      </c>
      <c r="B51" t="s">
        <v>261</v>
      </c>
      <c r="C51" t="s">
        <v>98</v>
      </c>
      <c r="D51" t="s">
        <v>153</v>
      </c>
      <c r="E51" t="s">
        <v>26</v>
      </c>
      <c r="F51" t="s">
        <v>99</v>
      </c>
      <c r="G51" t="s">
        <v>46</v>
      </c>
      <c r="H51" t="s">
        <v>28</v>
      </c>
      <c r="I51" t="s">
        <v>29</v>
      </c>
      <c r="J51" t="str">
        <f>+VLOOKUP(A51,[1]Buscador!$B:$E,4,0)</f>
        <v>Samborondón</v>
      </c>
      <c r="K51" t="str">
        <f>+VLOOKUP(A51,[1]Buscador!$B:$F,5,0)</f>
        <v>Guayas</v>
      </c>
      <c r="L51" t="s">
        <v>31</v>
      </c>
      <c r="O51" t="s">
        <v>32</v>
      </c>
      <c r="P51" t="s">
        <v>33</v>
      </c>
      <c r="Q51" t="s">
        <v>261</v>
      </c>
      <c r="R51" t="s">
        <v>153</v>
      </c>
      <c r="S51" t="s">
        <v>320</v>
      </c>
      <c r="T51" t="s">
        <v>321</v>
      </c>
      <c r="U51" t="s">
        <v>322</v>
      </c>
      <c r="V51" t="s">
        <v>323</v>
      </c>
      <c r="W51">
        <v>-2.1416837491999998</v>
      </c>
      <c r="X51">
        <v>-79.864768909000006</v>
      </c>
      <c r="Y51">
        <v>0</v>
      </c>
      <c r="Z51">
        <f>+VLOOKUP(H51,Evalua!$G$2:$H$12,2,0)</f>
        <v>1</v>
      </c>
      <c r="AA51">
        <f>+VLOOKUP(I51,Evalua!$G$2:$H$12,2,0)</f>
        <v>2</v>
      </c>
    </row>
    <row r="52" spans="1:27" x14ac:dyDescent="0.2">
      <c r="A52" s="1" t="s">
        <v>324</v>
      </c>
      <c r="B52" t="s">
        <v>266</v>
      </c>
      <c r="C52" t="s">
        <v>98</v>
      </c>
      <c r="D52" t="s">
        <v>153</v>
      </c>
      <c r="E52" t="s">
        <v>26</v>
      </c>
      <c r="F52" t="s">
        <v>99</v>
      </c>
      <c r="G52" t="s">
        <v>46</v>
      </c>
      <c r="H52" t="s">
        <v>28</v>
      </c>
      <c r="I52" t="s">
        <v>29</v>
      </c>
      <c r="J52" t="str">
        <f>+VLOOKUP(A52,[1]Buscador!$B:$E,4,0)</f>
        <v>Guayaquil</v>
      </c>
      <c r="K52" t="str">
        <f>+VLOOKUP(A52,[1]Buscador!$B:$F,5,0)</f>
        <v>Guayas</v>
      </c>
      <c r="L52" t="s">
        <v>31</v>
      </c>
      <c r="O52" t="s">
        <v>32</v>
      </c>
      <c r="P52" t="s">
        <v>33</v>
      </c>
      <c r="Q52" t="s">
        <v>266</v>
      </c>
      <c r="R52" t="s">
        <v>153</v>
      </c>
      <c r="S52" t="s">
        <v>325</v>
      </c>
      <c r="T52" t="s">
        <v>326</v>
      </c>
      <c r="U52" t="s">
        <v>327</v>
      </c>
      <c r="V52" t="s">
        <v>328</v>
      </c>
      <c r="W52">
        <v>-2.241638</v>
      </c>
      <c r="X52">
        <v>-79.894834000000003</v>
      </c>
      <c r="Y52">
        <v>0</v>
      </c>
      <c r="Z52">
        <f>+VLOOKUP(H52,Evalua!$G$2:$H$12,2,0)</f>
        <v>1</v>
      </c>
      <c r="AA52">
        <f>+VLOOKUP(I52,Evalua!$G$2:$H$12,2,0)</f>
        <v>2</v>
      </c>
    </row>
    <row r="53" spans="1:27" x14ac:dyDescent="0.2">
      <c r="A53" s="1" t="s">
        <v>329</v>
      </c>
      <c r="B53" t="s">
        <v>272</v>
      </c>
      <c r="C53" t="s">
        <v>98</v>
      </c>
      <c r="D53" t="s">
        <v>153</v>
      </c>
      <c r="E53" t="s">
        <v>26</v>
      </c>
      <c r="F53" t="s">
        <v>99</v>
      </c>
      <c r="G53" t="s">
        <v>46</v>
      </c>
      <c r="H53" t="s">
        <v>28</v>
      </c>
      <c r="I53" t="s">
        <v>29</v>
      </c>
      <c r="J53" t="str">
        <f>+VLOOKUP(A53,[1]Buscador!$B:$E,4,0)</f>
        <v>Guayaquil</v>
      </c>
      <c r="K53" t="str">
        <f>+VLOOKUP(A53,[1]Buscador!$B:$F,5,0)</f>
        <v>Guayas</v>
      </c>
      <c r="L53" t="s">
        <v>153</v>
      </c>
      <c r="O53" t="s">
        <v>32</v>
      </c>
      <c r="P53" t="s">
        <v>33</v>
      </c>
      <c r="Q53" t="s">
        <v>272</v>
      </c>
      <c r="R53" t="s">
        <v>153</v>
      </c>
      <c r="S53" t="s">
        <v>330</v>
      </c>
      <c r="T53" t="s">
        <v>331</v>
      </c>
      <c r="U53" t="s">
        <v>332</v>
      </c>
      <c r="V53" t="s">
        <v>333</v>
      </c>
      <c r="W53">
        <v>-2.1595117313999999</v>
      </c>
      <c r="X53">
        <v>-79.888602073000001</v>
      </c>
      <c r="Y53">
        <v>0</v>
      </c>
      <c r="Z53">
        <f>+VLOOKUP(H53,Evalua!$G$2:$H$12,2,0)</f>
        <v>1</v>
      </c>
      <c r="AA53">
        <f>+VLOOKUP(I53,Evalua!$G$2:$H$12,2,0)</f>
        <v>2</v>
      </c>
    </row>
    <row r="54" spans="1:27" x14ac:dyDescent="0.2">
      <c r="A54" s="1" t="s">
        <v>334</v>
      </c>
      <c r="B54" t="s">
        <v>277</v>
      </c>
      <c r="C54" t="s">
        <v>98</v>
      </c>
      <c r="D54" t="s">
        <v>153</v>
      </c>
      <c r="E54" t="s">
        <v>26</v>
      </c>
      <c r="F54" t="s">
        <v>99</v>
      </c>
      <c r="G54" t="s">
        <v>46</v>
      </c>
      <c r="H54" t="s">
        <v>81</v>
      </c>
      <c r="I54" t="s">
        <v>29</v>
      </c>
      <c r="J54" t="str">
        <f>+VLOOKUP(A54,[1]Buscador!$B:$E,4,0)</f>
        <v>Guayaquil</v>
      </c>
      <c r="K54" t="str">
        <f>+VLOOKUP(A54,[1]Buscador!$B:$F,5,0)</f>
        <v>Guayas</v>
      </c>
      <c r="L54" t="s">
        <v>31</v>
      </c>
      <c r="O54" t="s">
        <v>82</v>
      </c>
      <c r="P54" t="s">
        <v>83</v>
      </c>
      <c r="Q54" t="s">
        <v>277</v>
      </c>
      <c r="R54" t="s">
        <v>153</v>
      </c>
      <c r="S54" t="s">
        <v>335</v>
      </c>
      <c r="T54" t="s">
        <v>336</v>
      </c>
      <c r="U54" t="s">
        <v>337</v>
      </c>
      <c r="V54" t="s">
        <v>338</v>
      </c>
      <c r="W54">
        <v>-2.1942699999999999</v>
      </c>
      <c r="X54">
        <v>-79.925332999999995</v>
      </c>
      <c r="Y54">
        <v>0</v>
      </c>
      <c r="Z54">
        <f>+VLOOKUP(H54,Evalua!$G$2:$H$12,2,0)</f>
        <v>3</v>
      </c>
      <c r="AA54">
        <f>+VLOOKUP(I54,Evalua!$G$2:$H$12,2,0)</f>
        <v>2</v>
      </c>
    </row>
    <row r="55" spans="1:27" x14ac:dyDescent="0.2">
      <c r="A55" s="1" t="s">
        <v>339</v>
      </c>
      <c r="B55" t="s">
        <v>282</v>
      </c>
      <c r="C55" t="s">
        <v>98</v>
      </c>
      <c r="D55" t="s">
        <v>153</v>
      </c>
      <c r="E55" t="s">
        <v>26</v>
      </c>
      <c r="F55" t="s">
        <v>99</v>
      </c>
      <c r="G55" t="s">
        <v>46</v>
      </c>
      <c r="H55" t="s">
        <v>28</v>
      </c>
      <c r="I55" t="s">
        <v>29</v>
      </c>
      <c r="J55" t="str">
        <f>+VLOOKUP(A55,[1]Buscador!$B:$E,4,0)</f>
        <v>Guayaquil</v>
      </c>
      <c r="K55" t="str">
        <f>+VLOOKUP(A55,[1]Buscador!$B:$F,5,0)</f>
        <v>Guayas</v>
      </c>
      <c r="L55" t="s">
        <v>31</v>
      </c>
      <c r="O55" t="s">
        <v>32</v>
      </c>
      <c r="P55" t="s">
        <v>33</v>
      </c>
      <c r="Q55" t="s">
        <v>282</v>
      </c>
      <c r="R55" t="s">
        <v>153</v>
      </c>
      <c r="S55" t="s">
        <v>340</v>
      </c>
      <c r="T55" t="s">
        <v>341</v>
      </c>
      <c r="U55" t="s">
        <v>342</v>
      </c>
      <c r="V55" t="s">
        <v>343</v>
      </c>
      <c r="W55">
        <v>-2.1552713632999998</v>
      </c>
      <c r="X55">
        <v>-79.890638596900004</v>
      </c>
      <c r="Y55">
        <v>0</v>
      </c>
      <c r="Z55">
        <f>+VLOOKUP(H55,Evalua!$G$2:$H$12,2,0)</f>
        <v>1</v>
      </c>
      <c r="AA55">
        <f>+VLOOKUP(I55,Evalua!$G$2:$H$12,2,0)</f>
        <v>2</v>
      </c>
    </row>
    <row r="56" spans="1:27" x14ac:dyDescent="0.2">
      <c r="A56" s="1" t="s">
        <v>344</v>
      </c>
      <c r="B56" t="s">
        <v>287</v>
      </c>
      <c r="C56" t="s">
        <v>98</v>
      </c>
      <c r="D56" t="s">
        <v>153</v>
      </c>
      <c r="E56" t="s">
        <v>26</v>
      </c>
      <c r="F56" t="s">
        <v>99</v>
      </c>
      <c r="G56" t="s">
        <v>159</v>
      </c>
      <c r="H56" t="s">
        <v>28</v>
      </c>
      <c r="I56" t="s">
        <v>29</v>
      </c>
      <c r="J56" t="str">
        <f>+VLOOKUP(A56,[1]Buscador!$B:$E,4,0)</f>
        <v>Cuenca</v>
      </c>
      <c r="K56" t="str">
        <f>+VLOOKUP(A56,[1]Buscador!$B:$F,5,0)</f>
        <v>Azuay</v>
      </c>
      <c r="L56" t="s">
        <v>31</v>
      </c>
      <c r="O56" t="s">
        <v>32</v>
      </c>
      <c r="P56" t="s">
        <v>33</v>
      </c>
      <c r="Q56" t="s">
        <v>287</v>
      </c>
      <c r="R56" t="s">
        <v>153</v>
      </c>
      <c r="S56" t="s">
        <v>345</v>
      </c>
      <c r="T56" t="s">
        <v>346</v>
      </c>
      <c r="U56" t="s">
        <v>347</v>
      </c>
      <c r="V56" t="s">
        <v>348</v>
      </c>
      <c r="W56">
        <v>-2.8971729126999999</v>
      </c>
      <c r="X56">
        <v>-78.976930190900006</v>
      </c>
      <c r="Y56">
        <v>0</v>
      </c>
      <c r="Z56">
        <f>+VLOOKUP(H56,Evalua!$G$2:$H$12,2,0)</f>
        <v>1</v>
      </c>
      <c r="AA56">
        <f>+VLOOKUP(I56,Evalua!$G$2:$H$12,2,0)</f>
        <v>2</v>
      </c>
    </row>
    <row r="57" spans="1:27" x14ac:dyDescent="0.2">
      <c r="A57" s="1" t="s">
        <v>349</v>
      </c>
      <c r="B57" t="s">
        <v>293</v>
      </c>
      <c r="C57" t="s">
        <v>98</v>
      </c>
      <c r="D57" t="s">
        <v>153</v>
      </c>
      <c r="E57" t="s">
        <v>26</v>
      </c>
      <c r="F57" t="s">
        <v>99</v>
      </c>
      <c r="G57" t="s">
        <v>46</v>
      </c>
      <c r="H57" t="s">
        <v>28</v>
      </c>
      <c r="I57" t="s">
        <v>29</v>
      </c>
      <c r="J57" t="str">
        <f>+VLOOKUP(A57,[1]Buscador!$B:$E,4,0)</f>
        <v>Guayaquil</v>
      </c>
      <c r="K57" t="str">
        <f>+VLOOKUP(A57,[1]Buscador!$B:$F,5,0)</f>
        <v>Guayas</v>
      </c>
      <c r="L57" t="s">
        <v>31</v>
      </c>
      <c r="O57" t="s">
        <v>32</v>
      </c>
      <c r="P57" t="s">
        <v>33</v>
      </c>
      <c r="Q57" t="s">
        <v>293</v>
      </c>
      <c r="R57" t="s">
        <v>153</v>
      </c>
      <c r="S57" t="s">
        <v>350</v>
      </c>
      <c r="T57" t="s">
        <v>351</v>
      </c>
      <c r="U57" t="s">
        <v>352</v>
      </c>
      <c r="V57" t="s">
        <v>353</v>
      </c>
      <c r="W57">
        <v>-2.0274252138</v>
      </c>
      <c r="X57">
        <v>-79.950484750399994</v>
      </c>
      <c r="Y57">
        <v>0</v>
      </c>
      <c r="Z57">
        <f>+VLOOKUP(H57,Evalua!$G$2:$H$12,2,0)</f>
        <v>1</v>
      </c>
      <c r="AA57">
        <f>+VLOOKUP(I57,Evalua!$G$2:$H$12,2,0)</f>
        <v>2</v>
      </c>
    </row>
    <row r="58" spans="1:27" x14ac:dyDescent="0.2">
      <c r="A58" s="1" t="s">
        <v>354</v>
      </c>
      <c r="B58" t="s">
        <v>299</v>
      </c>
      <c r="C58" t="s">
        <v>98</v>
      </c>
      <c r="D58" t="s">
        <v>153</v>
      </c>
      <c r="E58" t="s">
        <v>26</v>
      </c>
      <c r="F58" t="s">
        <v>99</v>
      </c>
      <c r="G58" t="s">
        <v>46</v>
      </c>
      <c r="H58" t="s">
        <v>28</v>
      </c>
      <c r="I58" t="s">
        <v>29</v>
      </c>
      <c r="J58" t="str">
        <f>+VLOOKUP(A58,[1]Buscador!$B:$E,4,0)</f>
        <v>Guayaquil</v>
      </c>
      <c r="K58" t="str">
        <f>+VLOOKUP(A58,[1]Buscador!$B:$F,5,0)</f>
        <v>Guayas</v>
      </c>
      <c r="L58" t="s">
        <v>31</v>
      </c>
      <c r="O58" t="s">
        <v>32</v>
      </c>
      <c r="P58" t="s">
        <v>33</v>
      </c>
      <c r="Q58" t="s">
        <v>299</v>
      </c>
      <c r="R58" t="s">
        <v>153</v>
      </c>
      <c r="S58" t="s">
        <v>355</v>
      </c>
      <c r="T58" t="s">
        <v>356</v>
      </c>
      <c r="U58" t="s">
        <v>357</v>
      </c>
      <c r="V58" t="s">
        <v>358</v>
      </c>
      <c r="W58">
        <v>-2.0380955046999998</v>
      </c>
      <c r="X58">
        <v>-79.945506099200003</v>
      </c>
      <c r="Y58">
        <v>0</v>
      </c>
      <c r="Z58">
        <f>+VLOOKUP(H58,Evalua!$G$2:$H$12,2,0)</f>
        <v>1</v>
      </c>
      <c r="AA58">
        <f>+VLOOKUP(I58,Evalua!$G$2:$H$12,2,0)</f>
        <v>2</v>
      </c>
    </row>
    <row r="59" spans="1:27" x14ac:dyDescent="0.2">
      <c r="A59" s="1" t="s">
        <v>359</v>
      </c>
      <c r="B59" t="s">
        <v>305</v>
      </c>
      <c r="C59" t="s">
        <v>98</v>
      </c>
      <c r="D59" t="s">
        <v>153</v>
      </c>
      <c r="E59" t="s">
        <v>26</v>
      </c>
      <c r="F59" t="s">
        <v>99</v>
      </c>
      <c r="G59" t="s">
        <v>46</v>
      </c>
      <c r="H59" t="s">
        <v>28</v>
      </c>
      <c r="I59" t="s">
        <v>29</v>
      </c>
      <c r="J59" t="str">
        <f>+VLOOKUP(A59,[1]Buscador!$B:$E,4,0)</f>
        <v>Guayaquil</v>
      </c>
      <c r="K59" t="str">
        <f>+VLOOKUP(A59,[1]Buscador!$B:$F,5,0)</f>
        <v>Guayas</v>
      </c>
      <c r="L59" t="s">
        <v>31</v>
      </c>
      <c r="O59" t="s">
        <v>32</v>
      </c>
      <c r="P59" t="s">
        <v>33</v>
      </c>
      <c r="Q59" t="s">
        <v>305</v>
      </c>
      <c r="R59" t="s">
        <v>153</v>
      </c>
      <c r="S59" t="s">
        <v>360</v>
      </c>
      <c r="T59" t="s">
        <v>361</v>
      </c>
      <c r="U59" t="s">
        <v>362</v>
      </c>
      <c r="V59" t="s">
        <v>363</v>
      </c>
      <c r="W59">
        <v>-1.9981574972</v>
      </c>
      <c r="X59">
        <v>-79.968113919700002</v>
      </c>
      <c r="Y59">
        <v>0</v>
      </c>
      <c r="Z59">
        <f>+VLOOKUP(H59,Evalua!$G$2:$H$12,2,0)</f>
        <v>1</v>
      </c>
      <c r="AA59">
        <f>+VLOOKUP(I59,Evalua!$G$2:$H$12,2,0)</f>
        <v>2</v>
      </c>
    </row>
    <row r="60" spans="1:27" x14ac:dyDescent="0.2">
      <c r="A60" s="1" t="s">
        <v>364</v>
      </c>
      <c r="B60" t="s">
        <v>310</v>
      </c>
      <c r="C60" t="s">
        <v>98</v>
      </c>
      <c r="D60" t="s">
        <v>1970</v>
      </c>
      <c r="E60" t="s">
        <v>26</v>
      </c>
      <c r="F60" t="s">
        <v>99</v>
      </c>
      <c r="G60" t="s">
        <v>46</v>
      </c>
      <c r="H60" t="s">
        <v>28</v>
      </c>
      <c r="I60" t="s">
        <v>29</v>
      </c>
      <c r="J60" t="str">
        <f>+VLOOKUP(A60,[1]Buscador!$B:$E,4,0)</f>
        <v>General Villamil Playas</v>
      </c>
      <c r="K60" t="str">
        <f>+VLOOKUP(A60,[1]Buscador!$B:$F,5,0)</f>
        <v>Guayas</v>
      </c>
      <c r="L60" t="s">
        <v>153</v>
      </c>
      <c r="O60" t="s">
        <v>32</v>
      </c>
      <c r="P60" t="s">
        <v>33</v>
      </c>
      <c r="Q60" t="s">
        <v>310</v>
      </c>
      <c r="R60" t="s">
        <v>1922</v>
      </c>
      <c r="S60" t="s">
        <v>365</v>
      </c>
      <c r="T60" t="s">
        <v>366</v>
      </c>
      <c r="U60" t="s">
        <v>367</v>
      </c>
      <c r="V60" t="s">
        <v>368</v>
      </c>
      <c r="W60">
        <v>-2.6356169999999999</v>
      </c>
      <c r="X60">
        <v>-80.390508999999994</v>
      </c>
      <c r="Y60">
        <v>0</v>
      </c>
      <c r="Z60">
        <f>+VLOOKUP(H60,Evalua!$G$2:$H$12,2,0)</f>
        <v>1</v>
      </c>
      <c r="AA60">
        <f>+VLOOKUP(I60,Evalua!$G$2:$H$12,2,0)</f>
        <v>2</v>
      </c>
    </row>
    <row r="61" spans="1:27" x14ac:dyDescent="0.2">
      <c r="A61" s="1" t="s">
        <v>369</v>
      </c>
      <c r="B61" t="s">
        <v>315</v>
      </c>
      <c r="C61" t="s">
        <v>98</v>
      </c>
      <c r="D61" t="s">
        <v>1970</v>
      </c>
      <c r="E61" t="s">
        <v>26</v>
      </c>
      <c r="F61" t="s">
        <v>99</v>
      </c>
      <c r="G61" t="s">
        <v>170</v>
      </c>
      <c r="H61" t="s">
        <v>123</v>
      </c>
      <c r="I61" t="s">
        <v>160</v>
      </c>
      <c r="J61" t="str">
        <f>+VLOOKUP(A61,[1]Buscador!$B:$E,4,0)</f>
        <v>Portoviejo</v>
      </c>
      <c r="K61" t="str">
        <f>+VLOOKUP(A61,[1]Buscador!$B:$F,5,0)</f>
        <v>Manabí</v>
      </c>
      <c r="L61" t="s">
        <v>153</v>
      </c>
      <c r="O61" t="s">
        <v>370</v>
      </c>
      <c r="P61" t="s">
        <v>126</v>
      </c>
      <c r="Q61" t="s">
        <v>315</v>
      </c>
      <c r="R61" t="s">
        <v>153</v>
      </c>
      <c r="S61" t="s">
        <v>371</v>
      </c>
      <c r="T61" t="s">
        <v>372</v>
      </c>
      <c r="U61" t="s">
        <v>373</v>
      </c>
      <c r="V61" t="s">
        <v>374</v>
      </c>
      <c r="W61">
        <v>-1.051107</v>
      </c>
      <c r="X61">
        <v>-80.453971999999993</v>
      </c>
      <c r="Y61">
        <v>0</v>
      </c>
      <c r="Z61">
        <f>+VLOOKUP(H61,Evalua!$G$2:$H$12,2,0)</f>
        <v>4</v>
      </c>
      <c r="AA61">
        <f>+VLOOKUP(I61,Evalua!$G$2:$H$12,2,0)</f>
        <v>3</v>
      </c>
    </row>
    <row r="62" spans="1:27" x14ac:dyDescent="0.2">
      <c r="A62" s="1" t="s">
        <v>375</v>
      </c>
      <c r="B62" t="s">
        <v>320</v>
      </c>
      <c r="C62" t="s">
        <v>98</v>
      </c>
      <c r="D62" t="s">
        <v>153</v>
      </c>
      <c r="E62" t="s">
        <v>26</v>
      </c>
      <c r="F62" t="s">
        <v>99</v>
      </c>
      <c r="G62" t="s">
        <v>46</v>
      </c>
      <c r="H62" t="s">
        <v>81</v>
      </c>
      <c r="I62" t="s">
        <v>234</v>
      </c>
      <c r="J62" t="str">
        <f>+VLOOKUP(A62,[1]Buscador!$B:$E,4,0)</f>
        <v>Guayaquil</v>
      </c>
      <c r="K62" t="str">
        <f>+VLOOKUP(A62,[1]Buscador!$B:$F,5,0)</f>
        <v>Guayas</v>
      </c>
      <c r="L62" t="s">
        <v>31</v>
      </c>
      <c r="O62" t="s">
        <v>235</v>
      </c>
      <c r="P62" t="s">
        <v>33</v>
      </c>
      <c r="Q62" t="s">
        <v>320</v>
      </c>
      <c r="R62" t="s">
        <v>153</v>
      </c>
      <c r="S62" t="s">
        <v>376</v>
      </c>
      <c r="T62" t="s">
        <v>377</v>
      </c>
      <c r="U62" t="s">
        <v>378</v>
      </c>
      <c r="V62" t="s">
        <v>379</v>
      </c>
      <c r="W62">
        <v>-2.1302340000000002</v>
      </c>
      <c r="X62">
        <v>-79.932355000000001</v>
      </c>
      <c r="Y62">
        <v>0</v>
      </c>
      <c r="Z62">
        <f>+VLOOKUP(H62,Evalua!$G$2:$H$12,2,0)</f>
        <v>3</v>
      </c>
      <c r="AA62">
        <f>+VLOOKUP(I62,Evalua!$G$2:$H$12,2,0)</f>
        <v>1</v>
      </c>
    </row>
    <row r="63" spans="1:27" x14ac:dyDescent="0.2">
      <c r="A63" s="1" t="s">
        <v>380</v>
      </c>
      <c r="B63" t="s">
        <v>325</v>
      </c>
      <c r="C63" t="s">
        <v>98</v>
      </c>
      <c r="D63" t="s">
        <v>153</v>
      </c>
      <c r="E63" t="s">
        <v>26</v>
      </c>
      <c r="F63" t="s">
        <v>99</v>
      </c>
      <c r="G63" t="s">
        <v>46</v>
      </c>
      <c r="H63" t="s">
        <v>28</v>
      </c>
      <c r="I63" t="s">
        <v>29</v>
      </c>
      <c r="J63" t="str">
        <f>+VLOOKUP(A63,[1]Buscador!$B:$E,4,0)</f>
        <v>Guayaquil</v>
      </c>
      <c r="K63" t="str">
        <f>+VLOOKUP(A63,[1]Buscador!$B:$F,5,0)</f>
        <v>Guayas</v>
      </c>
      <c r="L63" t="s">
        <v>31</v>
      </c>
      <c r="O63" t="s">
        <v>32</v>
      </c>
      <c r="P63" t="s">
        <v>33</v>
      </c>
      <c r="Q63" t="s">
        <v>325</v>
      </c>
      <c r="R63" t="s">
        <v>153</v>
      </c>
      <c r="S63" t="s">
        <v>381</v>
      </c>
      <c r="T63" t="s">
        <v>382</v>
      </c>
      <c r="U63" t="s">
        <v>383</v>
      </c>
      <c r="V63" t="s">
        <v>384</v>
      </c>
      <c r="W63">
        <v>-2.2794737941999998</v>
      </c>
      <c r="X63">
        <v>-79.906965462100004</v>
      </c>
      <c r="Y63">
        <v>0</v>
      </c>
      <c r="Z63">
        <f>+VLOOKUP(H63,Evalua!$G$2:$H$12,2,0)</f>
        <v>1</v>
      </c>
      <c r="AA63">
        <f>+VLOOKUP(I63,Evalua!$G$2:$H$12,2,0)</f>
        <v>2</v>
      </c>
    </row>
    <row r="64" spans="1:27" x14ac:dyDescent="0.2">
      <c r="A64" s="1" t="s">
        <v>385</v>
      </c>
      <c r="B64" t="s">
        <v>330</v>
      </c>
      <c r="C64" t="s">
        <v>98</v>
      </c>
      <c r="D64" t="s">
        <v>153</v>
      </c>
      <c r="E64" t="s">
        <v>26</v>
      </c>
      <c r="F64" t="s">
        <v>99</v>
      </c>
      <c r="G64" t="s">
        <v>46</v>
      </c>
      <c r="H64" t="s">
        <v>28</v>
      </c>
      <c r="I64" t="s">
        <v>29</v>
      </c>
      <c r="J64" t="str">
        <f>+VLOOKUP(A64,[1]Buscador!$B:$E,4,0)</f>
        <v>Samborondón</v>
      </c>
      <c r="K64" t="str">
        <f>+VLOOKUP(A64,[1]Buscador!$B:$F,5,0)</f>
        <v>Guayas</v>
      </c>
      <c r="L64" t="s">
        <v>31</v>
      </c>
      <c r="O64" t="s">
        <v>32</v>
      </c>
      <c r="P64" t="s">
        <v>33</v>
      </c>
      <c r="Q64" t="s">
        <v>330</v>
      </c>
      <c r="R64" t="s">
        <v>153</v>
      </c>
      <c r="S64" t="s">
        <v>387</v>
      </c>
      <c r="T64" t="s">
        <v>388</v>
      </c>
      <c r="U64" t="s">
        <v>389</v>
      </c>
      <c r="V64" t="s">
        <v>390</v>
      </c>
      <c r="W64">
        <v>-2.0760679426999999</v>
      </c>
      <c r="X64">
        <v>-79.853145662200006</v>
      </c>
      <c r="Y64">
        <v>0</v>
      </c>
      <c r="Z64">
        <f>+VLOOKUP(H64,Evalua!$G$2:$H$12,2,0)</f>
        <v>1</v>
      </c>
      <c r="AA64">
        <f>+VLOOKUP(I64,Evalua!$G$2:$H$12,2,0)</f>
        <v>2</v>
      </c>
    </row>
    <row r="65" spans="1:27" x14ac:dyDescent="0.2">
      <c r="A65" s="1" t="s">
        <v>391</v>
      </c>
      <c r="B65" t="s">
        <v>335</v>
      </c>
      <c r="C65" t="s">
        <v>98</v>
      </c>
      <c r="D65" t="s">
        <v>153</v>
      </c>
      <c r="E65" t="s">
        <v>26</v>
      </c>
      <c r="F65" t="s">
        <v>99</v>
      </c>
      <c r="G65" t="s">
        <v>46</v>
      </c>
      <c r="H65" t="s">
        <v>28</v>
      </c>
      <c r="I65" t="s">
        <v>29</v>
      </c>
      <c r="J65" t="str">
        <f>+VLOOKUP(A65,[1]Buscador!$B:$E,4,0)</f>
        <v>La Aurora</v>
      </c>
      <c r="K65" t="str">
        <f>+VLOOKUP(A65,[1]Buscador!$B:$F,5,0)</f>
        <v>Guayas</v>
      </c>
      <c r="L65" t="s">
        <v>31</v>
      </c>
      <c r="O65" t="s">
        <v>32</v>
      </c>
      <c r="P65" t="s">
        <v>33</v>
      </c>
      <c r="Q65" t="s">
        <v>335</v>
      </c>
      <c r="R65" t="s">
        <v>153</v>
      </c>
      <c r="S65" t="s">
        <v>392</v>
      </c>
      <c r="T65" t="s">
        <v>393</v>
      </c>
      <c r="U65" t="s">
        <v>394</v>
      </c>
      <c r="V65" t="s">
        <v>395</v>
      </c>
      <c r="W65">
        <v>-2.0406102042000001</v>
      </c>
      <c r="X65">
        <v>-79.914018207300003</v>
      </c>
      <c r="Y65">
        <v>0</v>
      </c>
      <c r="Z65">
        <f>+VLOOKUP(H65,Evalua!$G$2:$H$12,2,0)</f>
        <v>1</v>
      </c>
      <c r="AA65">
        <f>+VLOOKUP(I65,Evalua!$G$2:$H$12,2,0)</f>
        <v>2</v>
      </c>
    </row>
    <row r="66" spans="1:27" x14ac:dyDescent="0.2">
      <c r="A66" s="1" t="s">
        <v>396</v>
      </c>
      <c r="B66" t="s">
        <v>340</v>
      </c>
      <c r="C66" t="s">
        <v>98</v>
      </c>
      <c r="D66" t="s">
        <v>153</v>
      </c>
      <c r="E66" t="s">
        <v>26</v>
      </c>
      <c r="F66" t="s">
        <v>99</v>
      </c>
      <c r="G66" t="s">
        <v>46</v>
      </c>
      <c r="H66" t="s">
        <v>28</v>
      </c>
      <c r="I66" t="s">
        <v>29</v>
      </c>
      <c r="J66" t="str">
        <f>+VLOOKUP(A66,[1]Buscador!$B:$E,4,0)</f>
        <v>La Aurora</v>
      </c>
      <c r="K66" t="str">
        <f>+VLOOKUP(A66,[1]Buscador!$B:$F,5,0)</f>
        <v>Guayas</v>
      </c>
      <c r="L66" t="s">
        <v>31</v>
      </c>
      <c r="O66" t="s">
        <v>32</v>
      </c>
      <c r="P66" t="s">
        <v>33</v>
      </c>
      <c r="Q66" t="s">
        <v>340</v>
      </c>
      <c r="R66" t="s">
        <v>153</v>
      </c>
      <c r="S66" t="s">
        <v>397</v>
      </c>
      <c r="T66" t="s">
        <v>398</v>
      </c>
      <c r="U66" t="s">
        <v>399</v>
      </c>
      <c r="V66" t="s">
        <v>400</v>
      </c>
      <c r="W66">
        <v>-2.0491000000000001</v>
      </c>
      <c r="X66">
        <v>-79.889420999999999</v>
      </c>
      <c r="Y66">
        <v>0</v>
      </c>
      <c r="Z66">
        <f>+VLOOKUP(H66,Evalua!$G$2:$H$12,2,0)</f>
        <v>1</v>
      </c>
      <c r="AA66">
        <f>+VLOOKUP(I66,Evalua!$G$2:$H$12,2,0)</f>
        <v>2</v>
      </c>
    </row>
    <row r="67" spans="1:27" x14ac:dyDescent="0.2">
      <c r="A67" s="1" t="s">
        <v>401</v>
      </c>
      <c r="B67" t="s">
        <v>345</v>
      </c>
      <c r="C67" t="s">
        <v>98</v>
      </c>
      <c r="D67" t="s">
        <v>153</v>
      </c>
      <c r="E67" t="s">
        <v>26</v>
      </c>
      <c r="F67" t="s">
        <v>99</v>
      </c>
      <c r="G67" t="s">
        <v>46</v>
      </c>
      <c r="H67" t="s">
        <v>81</v>
      </c>
      <c r="I67" t="s">
        <v>234</v>
      </c>
      <c r="J67" t="str">
        <f>+VLOOKUP(A67,[1]Buscador!$B:$E,4,0)</f>
        <v>Guayaquil</v>
      </c>
      <c r="K67" t="str">
        <f>+VLOOKUP(A67,[1]Buscador!$B:$F,5,0)</f>
        <v>Guayas</v>
      </c>
      <c r="L67" t="s">
        <v>31</v>
      </c>
      <c r="O67" t="s">
        <v>235</v>
      </c>
      <c r="P67" t="s">
        <v>33</v>
      </c>
      <c r="Q67" t="s">
        <v>345</v>
      </c>
      <c r="R67" t="s">
        <v>153</v>
      </c>
      <c r="S67" t="s">
        <v>402</v>
      </c>
      <c r="T67" t="s">
        <v>403</v>
      </c>
      <c r="U67" t="s">
        <v>404</v>
      </c>
      <c r="V67" t="s">
        <v>405</v>
      </c>
      <c r="W67">
        <v>-2.1069115318999998</v>
      </c>
      <c r="X67">
        <v>-79.931823881300005</v>
      </c>
      <c r="Y67">
        <v>0</v>
      </c>
      <c r="Z67">
        <f>+VLOOKUP(H67,Evalua!$G$2:$H$12,2,0)</f>
        <v>3</v>
      </c>
      <c r="AA67">
        <f>+VLOOKUP(I67,Evalua!$G$2:$H$12,2,0)</f>
        <v>1</v>
      </c>
    </row>
    <row r="68" spans="1:27" x14ac:dyDescent="0.2">
      <c r="A68" s="1" t="s">
        <v>406</v>
      </c>
      <c r="B68" t="s">
        <v>350</v>
      </c>
      <c r="C68" t="s">
        <v>98</v>
      </c>
      <c r="D68" t="s">
        <v>153</v>
      </c>
      <c r="E68" t="s">
        <v>26</v>
      </c>
      <c r="F68" t="s">
        <v>99</v>
      </c>
      <c r="G68" t="s">
        <v>159</v>
      </c>
      <c r="H68" t="s">
        <v>28</v>
      </c>
      <c r="I68" t="s">
        <v>29</v>
      </c>
      <c r="J68" t="str">
        <f>+VLOOKUP(A68,[1]Buscador!$B:$E,4,0)</f>
        <v>Cuenca</v>
      </c>
      <c r="K68" t="str">
        <f>+VLOOKUP(A68,[1]Buscador!$B:$F,5,0)</f>
        <v>Azuay</v>
      </c>
      <c r="L68" t="s">
        <v>31</v>
      </c>
      <c r="O68" t="s">
        <v>32</v>
      </c>
      <c r="P68" t="s">
        <v>33</v>
      </c>
      <c r="Q68" t="s">
        <v>350</v>
      </c>
      <c r="R68" t="s">
        <v>153</v>
      </c>
      <c r="S68" t="s">
        <v>407</v>
      </c>
      <c r="T68" t="s">
        <v>408</v>
      </c>
      <c r="U68" t="s">
        <v>409</v>
      </c>
      <c r="V68" t="s">
        <v>410</v>
      </c>
      <c r="W68">
        <v>-2.786915</v>
      </c>
      <c r="X68">
        <v>-79.165980000000005</v>
      </c>
      <c r="Y68">
        <v>0</v>
      </c>
      <c r="Z68">
        <f>+VLOOKUP(H68,Evalua!$G$2:$H$12,2,0)</f>
        <v>1</v>
      </c>
      <c r="AA68">
        <f>+VLOOKUP(I68,Evalua!$G$2:$H$12,2,0)</f>
        <v>2</v>
      </c>
    </row>
    <row r="69" spans="1:27" x14ac:dyDescent="0.2">
      <c r="A69" s="1" t="s">
        <v>411</v>
      </c>
      <c r="B69" t="s">
        <v>355</v>
      </c>
      <c r="C69" t="s">
        <v>98</v>
      </c>
      <c r="D69" t="s">
        <v>153</v>
      </c>
      <c r="E69" t="s">
        <v>26</v>
      </c>
      <c r="F69" t="s">
        <v>99</v>
      </c>
      <c r="G69" t="s">
        <v>46</v>
      </c>
      <c r="H69" t="s">
        <v>28</v>
      </c>
      <c r="I69" t="s">
        <v>29</v>
      </c>
      <c r="J69" t="str">
        <f>+VLOOKUP(A69,[1]Buscador!$B:$E,4,0)</f>
        <v>Durán</v>
      </c>
      <c r="K69" t="str">
        <f>+VLOOKUP(A69,[1]Buscador!$B:$F,5,0)</f>
        <v>Guayas</v>
      </c>
      <c r="L69" t="s">
        <v>31</v>
      </c>
      <c r="O69" t="s">
        <v>32</v>
      </c>
      <c r="P69" t="s">
        <v>33</v>
      </c>
      <c r="Q69" t="s">
        <v>355</v>
      </c>
      <c r="R69" t="s">
        <v>153</v>
      </c>
      <c r="S69" t="s">
        <v>412</v>
      </c>
      <c r="T69" t="s">
        <v>413</v>
      </c>
      <c r="U69" t="s">
        <v>414</v>
      </c>
      <c r="V69" t="s">
        <v>415</v>
      </c>
      <c r="W69">
        <v>-2.1880299094</v>
      </c>
      <c r="X69">
        <v>-79.827955918599997</v>
      </c>
      <c r="Y69">
        <v>0</v>
      </c>
      <c r="Z69">
        <f>+VLOOKUP(H69,Evalua!$G$2:$H$12,2,0)</f>
        <v>1</v>
      </c>
      <c r="AA69">
        <f>+VLOOKUP(I69,Evalua!$G$2:$H$12,2,0)</f>
        <v>2</v>
      </c>
    </row>
    <row r="70" spans="1:27" x14ac:dyDescent="0.2">
      <c r="A70" s="1" t="s">
        <v>416</v>
      </c>
      <c r="B70" t="s">
        <v>360</v>
      </c>
      <c r="C70" t="s">
        <v>98</v>
      </c>
      <c r="D70" t="s">
        <v>153</v>
      </c>
      <c r="E70" t="s">
        <v>26</v>
      </c>
      <c r="F70" t="s">
        <v>99</v>
      </c>
      <c r="G70" t="s">
        <v>46</v>
      </c>
      <c r="H70" t="s">
        <v>81</v>
      </c>
      <c r="I70" t="s">
        <v>160</v>
      </c>
      <c r="J70" t="str">
        <f>+VLOOKUP(A70,[1]Buscador!$B:$E,4,0)</f>
        <v>Durán</v>
      </c>
      <c r="K70" t="str">
        <f>+VLOOKUP(A70,[1]Buscador!$B:$F,5,0)</f>
        <v>Guayas</v>
      </c>
      <c r="L70" t="s">
        <v>418</v>
      </c>
      <c r="M70">
        <v>0</v>
      </c>
      <c r="N70">
        <v>3</v>
      </c>
      <c r="O70" t="s">
        <v>208</v>
      </c>
      <c r="P70" t="s">
        <v>126</v>
      </c>
      <c r="Q70" t="s">
        <v>360</v>
      </c>
      <c r="R70" t="s">
        <v>153</v>
      </c>
      <c r="S70" t="s">
        <v>419</v>
      </c>
      <c r="T70" t="s">
        <v>420</v>
      </c>
      <c r="U70" t="s">
        <v>421</v>
      </c>
      <c r="V70" t="s">
        <v>422</v>
      </c>
      <c r="W70">
        <v>-2.1743156678000002</v>
      </c>
      <c r="X70">
        <v>-79.803764279099994</v>
      </c>
      <c r="Y70">
        <v>0</v>
      </c>
      <c r="Z70">
        <f>+VLOOKUP(H70,Evalua!$G$2:$H$12,2,0)</f>
        <v>3</v>
      </c>
      <c r="AA70">
        <f>+VLOOKUP(I70,Evalua!$G$2:$H$12,2,0)</f>
        <v>3</v>
      </c>
    </row>
    <row r="71" spans="1:27" x14ac:dyDescent="0.2">
      <c r="A71" s="1" t="s">
        <v>423</v>
      </c>
      <c r="B71" t="s">
        <v>365</v>
      </c>
      <c r="C71" t="s">
        <v>98</v>
      </c>
      <c r="D71" t="s">
        <v>153</v>
      </c>
      <c r="E71" t="s">
        <v>26</v>
      </c>
      <c r="F71" t="s">
        <v>99</v>
      </c>
      <c r="G71" t="s">
        <v>46</v>
      </c>
      <c r="H71" t="s">
        <v>28</v>
      </c>
      <c r="I71" t="s">
        <v>29</v>
      </c>
      <c r="J71" t="str">
        <f>+VLOOKUP(A71,[1]Buscador!$B:$E,4,0)</f>
        <v>Samborondón</v>
      </c>
      <c r="K71" t="str">
        <f>+VLOOKUP(A71,[1]Buscador!$B:$F,5,0)</f>
        <v>Guayas</v>
      </c>
      <c r="L71" t="s">
        <v>31</v>
      </c>
      <c r="O71" t="s">
        <v>32</v>
      </c>
      <c r="P71" t="s">
        <v>33</v>
      </c>
      <c r="Q71" t="s">
        <v>365</v>
      </c>
      <c r="R71" t="s">
        <v>153</v>
      </c>
      <c r="S71" t="s">
        <v>424</v>
      </c>
      <c r="T71" t="s">
        <v>425</v>
      </c>
      <c r="U71" t="s">
        <v>426</v>
      </c>
      <c r="V71" t="s">
        <v>427</v>
      </c>
      <c r="W71">
        <v>-2.0383602155</v>
      </c>
      <c r="X71">
        <v>-79.857352980200005</v>
      </c>
      <c r="Y71">
        <v>0</v>
      </c>
      <c r="Z71">
        <f>+VLOOKUP(H71,Evalua!$G$2:$H$12,2,0)</f>
        <v>1</v>
      </c>
      <c r="AA71">
        <f>+VLOOKUP(I71,Evalua!$G$2:$H$12,2,0)</f>
        <v>2</v>
      </c>
    </row>
    <row r="72" spans="1:27" x14ac:dyDescent="0.2">
      <c r="A72" s="1" t="s">
        <v>428</v>
      </c>
      <c r="B72" t="s">
        <v>371</v>
      </c>
      <c r="C72" t="s">
        <v>98</v>
      </c>
      <c r="D72" t="s">
        <v>153</v>
      </c>
      <c r="E72" t="s">
        <v>26</v>
      </c>
      <c r="F72" t="s">
        <v>99</v>
      </c>
      <c r="G72" t="s">
        <v>46</v>
      </c>
      <c r="H72" t="s">
        <v>81</v>
      </c>
      <c r="I72" t="s">
        <v>29</v>
      </c>
      <c r="J72" t="str">
        <f>+VLOOKUP(A72,[1]Buscador!$B:$E,4,0)</f>
        <v>Guayaquil</v>
      </c>
      <c r="K72" t="str">
        <f>+VLOOKUP(A72,[1]Buscador!$B:$F,5,0)</f>
        <v>Guayas</v>
      </c>
      <c r="L72" t="s">
        <v>153</v>
      </c>
      <c r="O72" t="s">
        <v>82</v>
      </c>
      <c r="P72" t="s">
        <v>83</v>
      </c>
      <c r="Q72" t="s">
        <v>371</v>
      </c>
      <c r="R72" t="s">
        <v>153</v>
      </c>
      <c r="S72" t="s">
        <v>429</v>
      </c>
      <c r="T72" t="s">
        <v>430</v>
      </c>
      <c r="U72" t="s">
        <v>431</v>
      </c>
      <c r="V72" t="s">
        <v>432</v>
      </c>
      <c r="W72">
        <v>-2.1280260000000002</v>
      </c>
      <c r="X72">
        <v>-79.892673000000002</v>
      </c>
      <c r="Y72">
        <v>0</v>
      </c>
      <c r="Z72">
        <f>+VLOOKUP(H72,Evalua!$G$2:$H$12,2,0)</f>
        <v>3</v>
      </c>
      <c r="AA72">
        <f>+VLOOKUP(I72,Evalua!$G$2:$H$12,2,0)</f>
        <v>2</v>
      </c>
    </row>
    <row r="73" spans="1:27" x14ac:dyDescent="0.2">
      <c r="A73" s="1" t="s">
        <v>433</v>
      </c>
      <c r="B73" t="s">
        <v>376</v>
      </c>
      <c r="C73" t="s">
        <v>98</v>
      </c>
      <c r="D73" t="s">
        <v>153</v>
      </c>
      <c r="E73" t="s">
        <v>26</v>
      </c>
      <c r="F73" t="s">
        <v>99</v>
      </c>
      <c r="G73" t="s">
        <v>46</v>
      </c>
      <c r="H73" t="s">
        <v>28</v>
      </c>
      <c r="I73" t="s">
        <v>29</v>
      </c>
      <c r="J73" t="str">
        <f>+VLOOKUP(A73,[1]Buscador!$B:$E,4,0)</f>
        <v>Guayaquil</v>
      </c>
      <c r="K73" t="str">
        <f>+VLOOKUP(A73,[1]Buscador!$B:$F,5,0)</f>
        <v>Guayas</v>
      </c>
      <c r="L73" t="s">
        <v>153</v>
      </c>
      <c r="O73" t="s">
        <v>32</v>
      </c>
      <c r="P73" t="s">
        <v>33</v>
      </c>
      <c r="Q73" t="s">
        <v>376</v>
      </c>
      <c r="R73" t="s">
        <v>153</v>
      </c>
      <c r="S73" t="s">
        <v>434</v>
      </c>
      <c r="T73" t="s">
        <v>435</v>
      </c>
      <c r="U73" t="s">
        <v>436</v>
      </c>
      <c r="V73" t="s">
        <v>437</v>
      </c>
      <c r="W73">
        <v>-2.1450553376000001</v>
      </c>
      <c r="X73">
        <v>-79.922635587499997</v>
      </c>
      <c r="Y73">
        <v>0</v>
      </c>
      <c r="Z73">
        <f>+VLOOKUP(H73,Evalua!$G$2:$H$12,2,0)</f>
        <v>1</v>
      </c>
      <c r="AA73">
        <f>+VLOOKUP(I73,Evalua!$G$2:$H$12,2,0)</f>
        <v>2</v>
      </c>
    </row>
    <row r="74" spans="1:27" x14ac:dyDescent="0.2">
      <c r="A74" s="1" t="s">
        <v>438</v>
      </c>
      <c r="B74" t="s">
        <v>381</v>
      </c>
      <c r="C74" t="s">
        <v>98</v>
      </c>
      <c r="D74" t="s">
        <v>153</v>
      </c>
      <c r="E74" t="s">
        <v>26</v>
      </c>
      <c r="F74" t="s">
        <v>99</v>
      </c>
      <c r="G74" t="s">
        <v>27</v>
      </c>
      <c r="H74" t="s">
        <v>81</v>
      </c>
      <c r="I74" t="s">
        <v>160</v>
      </c>
      <c r="J74" t="str">
        <f>+VLOOKUP(A74,[1]Buscador!$B:$E,4,0)</f>
        <v>Distrito Metropolitano de Quito</v>
      </c>
      <c r="K74" t="str">
        <f>+VLOOKUP(A74,[1]Buscador!$B:$F,5,0)</f>
        <v>Pichincha</v>
      </c>
      <c r="L74" t="s">
        <v>153</v>
      </c>
      <c r="O74" t="s">
        <v>208</v>
      </c>
      <c r="P74" t="s">
        <v>126</v>
      </c>
      <c r="Q74" t="s">
        <v>381</v>
      </c>
      <c r="R74" t="s">
        <v>153</v>
      </c>
      <c r="S74" t="s">
        <v>439</v>
      </c>
      <c r="T74" t="s">
        <v>440</v>
      </c>
      <c r="U74" t="s">
        <v>441</v>
      </c>
      <c r="V74" t="s">
        <v>442</v>
      </c>
      <c r="W74">
        <v>-5.4045000000000003E-2</v>
      </c>
      <c r="X74">
        <v>-78.455477999999999</v>
      </c>
      <c r="Y74">
        <v>0</v>
      </c>
      <c r="Z74">
        <f>+VLOOKUP(H74,Evalua!$G$2:$H$12,2,0)</f>
        <v>3</v>
      </c>
      <c r="AA74">
        <f>+VLOOKUP(I74,Evalua!$G$2:$H$12,2,0)</f>
        <v>3</v>
      </c>
    </row>
    <row r="75" spans="1:27" x14ac:dyDescent="0.2">
      <c r="A75" s="1" t="s">
        <v>443</v>
      </c>
      <c r="B75" t="s">
        <v>387</v>
      </c>
      <c r="C75" t="s">
        <v>98</v>
      </c>
      <c r="D75" t="s">
        <v>153</v>
      </c>
      <c r="E75" t="s">
        <v>26</v>
      </c>
      <c r="F75" t="s">
        <v>99</v>
      </c>
      <c r="G75" t="s">
        <v>46</v>
      </c>
      <c r="H75" t="s">
        <v>28</v>
      </c>
      <c r="I75" t="s">
        <v>29</v>
      </c>
      <c r="J75" t="str">
        <f>+VLOOKUP(A75,[1]Buscador!$B:$E,4,0)</f>
        <v>Guayaquil</v>
      </c>
      <c r="K75" t="str">
        <f>+VLOOKUP(A75,[1]Buscador!$B:$F,5,0)</f>
        <v>Guayas</v>
      </c>
      <c r="L75" t="s">
        <v>153</v>
      </c>
      <c r="O75" t="s">
        <v>32</v>
      </c>
      <c r="P75" t="s">
        <v>33</v>
      </c>
      <c r="Q75" t="s">
        <v>387</v>
      </c>
      <c r="R75" t="s">
        <v>153</v>
      </c>
      <c r="S75" t="s">
        <v>444</v>
      </c>
      <c r="T75" t="s">
        <v>445</v>
      </c>
      <c r="U75" t="s">
        <v>446</v>
      </c>
      <c r="V75" t="s">
        <v>447</v>
      </c>
      <c r="W75">
        <v>-2.186439</v>
      </c>
      <c r="X75">
        <v>-79.88382</v>
      </c>
      <c r="Y75">
        <v>0</v>
      </c>
      <c r="Z75">
        <f>+VLOOKUP(H75,Evalua!$G$2:$H$12,2,0)</f>
        <v>1</v>
      </c>
      <c r="AA75">
        <f>+VLOOKUP(I75,Evalua!$G$2:$H$12,2,0)</f>
        <v>2</v>
      </c>
    </row>
    <row r="76" spans="1:27" x14ac:dyDescent="0.2">
      <c r="A76" s="1" t="s">
        <v>448</v>
      </c>
      <c r="B76" t="s">
        <v>392</v>
      </c>
      <c r="C76" t="s">
        <v>98</v>
      </c>
      <c r="D76" t="s">
        <v>153</v>
      </c>
      <c r="E76" t="s">
        <v>26</v>
      </c>
      <c r="F76" t="s">
        <v>99</v>
      </c>
      <c r="G76" t="s">
        <v>27</v>
      </c>
      <c r="H76" t="s">
        <v>81</v>
      </c>
      <c r="I76" t="s">
        <v>160</v>
      </c>
      <c r="J76" t="str">
        <f>+VLOOKUP(A76,[1]Buscador!$B:$E,4,0)</f>
        <v>Quito</v>
      </c>
      <c r="K76" t="str">
        <f>+VLOOKUP(A76,[1]Buscador!$B:$F,5,0)</f>
        <v>Pichincha</v>
      </c>
      <c r="L76" t="s">
        <v>153</v>
      </c>
      <c r="O76" t="s">
        <v>208</v>
      </c>
      <c r="P76" t="s">
        <v>126</v>
      </c>
      <c r="Q76" t="s">
        <v>392</v>
      </c>
      <c r="R76" t="s">
        <v>153</v>
      </c>
      <c r="S76" t="s">
        <v>449</v>
      </c>
      <c r="T76" t="s">
        <v>450</v>
      </c>
      <c r="U76" t="s">
        <v>451</v>
      </c>
      <c r="V76" t="s">
        <v>452</v>
      </c>
      <c r="W76">
        <v>-0.18534561059999999</v>
      </c>
      <c r="X76">
        <v>-78.478990546700004</v>
      </c>
      <c r="Y76">
        <v>0</v>
      </c>
      <c r="Z76">
        <f>+VLOOKUP(H76,Evalua!$G$2:$H$12,2,0)</f>
        <v>3</v>
      </c>
      <c r="AA76">
        <f>+VLOOKUP(I76,Evalua!$G$2:$H$12,2,0)</f>
        <v>3</v>
      </c>
    </row>
    <row r="77" spans="1:27" x14ac:dyDescent="0.2">
      <c r="A77" s="1" t="s">
        <v>453</v>
      </c>
      <c r="B77" t="s">
        <v>397</v>
      </c>
      <c r="C77" t="s">
        <v>98</v>
      </c>
      <c r="D77" t="s">
        <v>153</v>
      </c>
      <c r="E77" t="s">
        <v>26</v>
      </c>
      <c r="F77" t="s">
        <v>99</v>
      </c>
      <c r="G77" t="s">
        <v>46</v>
      </c>
      <c r="H77" t="s">
        <v>81</v>
      </c>
      <c r="I77" t="s">
        <v>160</v>
      </c>
      <c r="J77" t="str">
        <f>+VLOOKUP(A77,[1]Buscador!$B:$E,4,0)</f>
        <v>Guayaquil</v>
      </c>
      <c r="K77" t="str">
        <f>+VLOOKUP(A77,[1]Buscador!$B:$F,5,0)</f>
        <v>Guayas</v>
      </c>
      <c r="L77" t="s">
        <v>153</v>
      </c>
      <c r="O77" t="s">
        <v>208</v>
      </c>
      <c r="P77" t="s">
        <v>126</v>
      </c>
      <c r="Q77" t="s">
        <v>397</v>
      </c>
      <c r="R77" t="s">
        <v>153</v>
      </c>
      <c r="S77" t="s">
        <v>454</v>
      </c>
      <c r="T77" t="s">
        <v>455</v>
      </c>
      <c r="U77" t="s">
        <v>456</v>
      </c>
      <c r="V77" t="s">
        <v>457</v>
      </c>
      <c r="W77">
        <v>-2.2111070203000001</v>
      </c>
      <c r="X77">
        <v>-79.930980380099996</v>
      </c>
      <c r="Y77">
        <v>0</v>
      </c>
      <c r="Z77">
        <f>+VLOOKUP(H77,Evalua!$G$2:$H$12,2,0)</f>
        <v>3</v>
      </c>
      <c r="AA77">
        <f>+VLOOKUP(I77,Evalua!$G$2:$H$12,2,0)</f>
        <v>3</v>
      </c>
    </row>
    <row r="78" spans="1:27" x14ac:dyDescent="0.2">
      <c r="A78" s="1" t="s">
        <v>458</v>
      </c>
      <c r="B78" t="s">
        <v>402</v>
      </c>
      <c r="C78" t="s">
        <v>98</v>
      </c>
      <c r="D78" t="s">
        <v>153</v>
      </c>
      <c r="E78" t="s">
        <v>26</v>
      </c>
      <c r="F78" t="s">
        <v>99</v>
      </c>
      <c r="G78" t="s">
        <v>46</v>
      </c>
      <c r="H78" t="s">
        <v>28</v>
      </c>
      <c r="I78" t="s">
        <v>29</v>
      </c>
      <c r="J78" t="str">
        <f>+VLOOKUP(A78,[1]Buscador!$B:$E,4,0)</f>
        <v>Guayaquil</v>
      </c>
      <c r="K78" t="str">
        <f>+VLOOKUP(A78,[1]Buscador!$B:$F,5,0)</f>
        <v>Guayas</v>
      </c>
      <c r="L78" t="s">
        <v>153</v>
      </c>
      <c r="O78" t="s">
        <v>32</v>
      </c>
      <c r="P78" t="s">
        <v>33</v>
      </c>
      <c r="Q78" t="s">
        <v>402</v>
      </c>
      <c r="R78" t="s">
        <v>153</v>
      </c>
      <c r="S78" t="s">
        <v>459</v>
      </c>
      <c r="T78" t="s">
        <v>460</v>
      </c>
      <c r="U78" t="s">
        <v>461</v>
      </c>
      <c r="V78" t="s">
        <v>462</v>
      </c>
      <c r="W78">
        <v>-2.1288149999999999</v>
      </c>
      <c r="X78">
        <v>-79.936049999999994</v>
      </c>
      <c r="Y78">
        <v>0</v>
      </c>
      <c r="Z78">
        <f>+VLOOKUP(H78,Evalua!$G$2:$H$12,2,0)</f>
        <v>1</v>
      </c>
      <c r="AA78">
        <f>+VLOOKUP(I78,Evalua!$G$2:$H$12,2,0)</f>
        <v>2</v>
      </c>
    </row>
    <row r="79" spans="1:27" x14ac:dyDescent="0.2">
      <c r="A79" s="1" t="s">
        <v>463</v>
      </c>
      <c r="B79" t="s">
        <v>407</v>
      </c>
      <c r="C79" t="s">
        <v>98</v>
      </c>
      <c r="D79" t="s">
        <v>153</v>
      </c>
      <c r="E79" t="s">
        <v>26</v>
      </c>
      <c r="F79" t="s">
        <v>99</v>
      </c>
      <c r="G79" t="s">
        <v>46</v>
      </c>
      <c r="H79" t="s">
        <v>28</v>
      </c>
      <c r="I79" t="s">
        <v>29</v>
      </c>
      <c r="J79" t="str">
        <f>+VLOOKUP(A79,[1]Buscador!$B:$E,4,0)</f>
        <v>Guayaquil</v>
      </c>
      <c r="K79" t="str">
        <f>+VLOOKUP(A79,[1]Buscador!$B:$F,5,0)</f>
        <v>Guayas</v>
      </c>
      <c r="L79" t="s">
        <v>153</v>
      </c>
      <c r="O79" t="s">
        <v>32</v>
      </c>
      <c r="P79" t="s">
        <v>33</v>
      </c>
      <c r="Q79" t="s">
        <v>407</v>
      </c>
      <c r="R79" t="s">
        <v>153</v>
      </c>
      <c r="S79" t="s">
        <v>464</v>
      </c>
      <c r="T79" t="s">
        <v>465</v>
      </c>
      <c r="U79" t="s">
        <v>466</v>
      </c>
      <c r="V79" t="s">
        <v>462</v>
      </c>
      <c r="W79">
        <v>-2.1288149999999999</v>
      </c>
      <c r="X79">
        <v>-79.936049999999994</v>
      </c>
      <c r="Y79">
        <v>0</v>
      </c>
      <c r="Z79">
        <f>+VLOOKUP(H79,Evalua!$G$2:$H$12,2,0)</f>
        <v>1</v>
      </c>
      <c r="AA79">
        <f>+VLOOKUP(I79,Evalua!$G$2:$H$12,2,0)</f>
        <v>2</v>
      </c>
    </row>
    <row r="80" spans="1:27" x14ac:dyDescent="0.2">
      <c r="A80" s="1" t="s">
        <v>467</v>
      </c>
      <c r="B80" t="s">
        <v>412</v>
      </c>
      <c r="C80" t="s">
        <v>98</v>
      </c>
      <c r="D80" t="s">
        <v>153</v>
      </c>
      <c r="E80" t="s">
        <v>26</v>
      </c>
      <c r="F80" t="s">
        <v>99</v>
      </c>
      <c r="G80" t="s">
        <v>46</v>
      </c>
      <c r="H80" t="s">
        <v>81</v>
      </c>
      <c r="I80" t="s">
        <v>29</v>
      </c>
      <c r="J80" t="str">
        <f>+VLOOKUP(A80,[1]Buscador!$B:$E,4,0)</f>
        <v>Guayaquil</v>
      </c>
      <c r="K80" t="str">
        <f>+VLOOKUP(A80,[1]Buscador!$B:$F,5,0)</f>
        <v>Guayas</v>
      </c>
      <c r="L80" t="s">
        <v>31</v>
      </c>
      <c r="O80" t="s">
        <v>82</v>
      </c>
      <c r="P80" t="s">
        <v>83</v>
      </c>
      <c r="Q80" t="s">
        <v>412</v>
      </c>
      <c r="R80" t="s">
        <v>153</v>
      </c>
      <c r="S80" t="s">
        <v>468</v>
      </c>
      <c r="T80" t="s">
        <v>469</v>
      </c>
      <c r="U80" t="s">
        <v>470</v>
      </c>
      <c r="V80" t="s">
        <v>471</v>
      </c>
      <c r="W80">
        <v>-2.1441170000000001</v>
      </c>
      <c r="X80">
        <v>-79.893289999999993</v>
      </c>
      <c r="Y80">
        <v>0</v>
      </c>
      <c r="Z80">
        <f>+VLOOKUP(H80,Evalua!$G$2:$H$12,2,0)</f>
        <v>3</v>
      </c>
      <c r="AA80">
        <f>+VLOOKUP(I80,Evalua!$G$2:$H$12,2,0)</f>
        <v>2</v>
      </c>
    </row>
    <row r="81" spans="1:27" x14ac:dyDescent="0.2">
      <c r="A81" s="1" t="s">
        <v>472</v>
      </c>
      <c r="B81" t="s">
        <v>419</v>
      </c>
      <c r="C81" t="s">
        <v>98</v>
      </c>
      <c r="D81" t="s">
        <v>153</v>
      </c>
      <c r="E81" t="s">
        <v>26</v>
      </c>
      <c r="F81" t="s">
        <v>99</v>
      </c>
      <c r="G81" t="s">
        <v>46</v>
      </c>
      <c r="H81" t="s">
        <v>28</v>
      </c>
      <c r="I81" t="s">
        <v>29</v>
      </c>
      <c r="J81" t="str">
        <f>+VLOOKUP(A81,[1]Buscador!$B:$E,4,0)</f>
        <v>Guayaquil</v>
      </c>
      <c r="K81" t="str">
        <f>+VLOOKUP(A81,[1]Buscador!$B:$F,5,0)</f>
        <v>Guayas</v>
      </c>
      <c r="L81" t="s">
        <v>31</v>
      </c>
      <c r="O81" t="s">
        <v>32</v>
      </c>
      <c r="P81" t="s">
        <v>33</v>
      </c>
      <c r="Q81" t="s">
        <v>419</v>
      </c>
      <c r="R81" t="s">
        <v>153</v>
      </c>
      <c r="S81" t="s">
        <v>473</v>
      </c>
      <c r="T81" t="s">
        <v>474</v>
      </c>
      <c r="U81" t="s">
        <v>475</v>
      </c>
      <c r="V81" t="s">
        <v>476</v>
      </c>
      <c r="W81">
        <v>-2.2638741159000002</v>
      </c>
      <c r="X81">
        <v>-79.896355450000001</v>
      </c>
      <c r="Y81">
        <v>0</v>
      </c>
      <c r="Z81">
        <f>+VLOOKUP(H81,Evalua!$G$2:$H$12,2,0)</f>
        <v>1</v>
      </c>
      <c r="AA81">
        <f>+VLOOKUP(I81,Evalua!$G$2:$H$12,2,0)</f>
        <v>2</v>
      </c>
    </row>
    <row r="82" spans="1:27" x14ac:dyDescent="0.2">
      <c r="A82" s="1" t="s">
        <v>477</v>
      </c>
      <c r="B82" t="s">
        <v>424</v>
      </c>
      <c r="C82" t="s">
        <v>98</v>
      </c>
      <c r="D82" t="s">
        <v>153</v>
      </c>
      <c r="E82" t="s">
        <v>26</v>
      </c>
      <c r="F82" t="s">
        <v>99</v>
      </c>
      <c r="G82" t="s">
        <v>46</v>
      </c>
      <c r="H82" t="s">
        <v>28</v>
      </c>
      <c r="I82" t="s">
        <v>29</v>
      </c>
      <c r="J82" t="str">
        <f>+VLOOKUP(A82,[1]Buscador!$B:$E,4,0)</f>
        <v>Guayaquil</v>
      </c>
      <c r="K82" t="str">
        <f>+VLOOKUP(A82,[1]Buscador!$B:$F,5,0)</f>
        <v>Guayas</v>
      </c>
      <c r="L82" t="s">
        <v>31</v>
      </c>
      <c r="O82" t="s">
        <v>32</v>
      </c>
      <c r="P82" t="s">
        <v>33</v>
      </c>
      <c r="Q82" t="s">
        <v>424</v>
      </c>
      <c r="R82" t="s">
        <v>153</v>
      </c>
      <c r="S82" t="s">
        <v>478</v>
      </c>
      <c r="T82" t="s">
        <v>479</v>
      </c>
      <c r="U82" t="s">
        <v>480</v>
      </c>
      <c r="V82" t="s">
        <v>481</v>
      </c>
      <c r="W82">
        <v>-2.2509256028000002</v>
      </c>
      <c r="X82">
        <v>-79.894071177900003</v>
      </c>
      <c r="Y82">
        <v>0</v>
      </c>
      <c r="Z82">
        <f>+VLOOKUP(H82,Evalua!$G$2:$H$12,2,0)</f>
        <v>1</v>
      </c>
      <c r="AA82">
        <f>+VLOOKUP(I82,Evalua!$G$2:$H$12,2,0)</f>
        <v>2</v>
      </c>
    </row>
    <row r="83" spans="1:27" x14ac:dyDescent="0.2">
      <c r="A83" s="1" t="s">
        <v>482</v>
      </c>
      <c r="B83" t="s">
        <v>429</v>
      </c>
      <c r="C83" t="s">
        <v>98</v>
      </c>
      <c r="D83" t="s">
        <v>153</v>
      </c>
      <c r="E83" t="s">
        <v>26</v>
      </c>
      <c r="F83" t="s">
        <v>99</v>
      </c>
      <c r="G83" t="s">
        <v>46</v>
      </c>
      <c r="H83" t="s">
        <v>28</v>
      </c>
      <c r="I83" t="s">
        <v>29</v>
      </c>
      <c r="J83" t="str">
        <f>+VLOOKUP(A83,[1]Buscador!$B:$E,4,0)</f>
        <v>Guayaquil</v>
      </c>
      <c r="K83" t="str">
        <f>+VLOOKUP(A83,[1]Buscador!$B:$F,5,0)</f>
        <v>Guayas</v>
      </c>
      <c r="L83" t="s">
        <v>31</v>
      </c>
      <c r="O83" t="s">
        <v>32</v>
      </c>
      <c r="P83" t="s">
        <v>33</v>
      </c>
      <c r="Q83" t="s">
        <v>429</v>
      </c>
      <c r="R83" t="s">
        <v>153</v>
      </c>
      <c r="S83" t="s">
        <v>483</v>
      </c>
      <c r="T83" t="s">
        <v>484</v>
      </c>
      <c r="U83" t="s">
        <v>485</v>
      </c>
      <c r="V83" t="s">
        <v>486</v>
      </c>
      <c r="W83">
        <v>-2.0787363640000001</v>
      </c>
      <c r="X83">
        <v>-79.896649847899994</v>
      </c>
      <c r="Y83">
        <v>0</v>
      </c>
      <c r="Z83">
        <f>+VLOOKUP(H83,Evalua!$G$2:$H$12,2,0)</f>
        <v>1</v>
      </c>
      <c r="AA83">
        <f>+VLOOKUP(I83,Evalua!$G$2:$H$12,2,0)</f>
        <v>2</v>
      </c>
    </row>
    <row r="84" spans="1:27" x14ac:dyDescent="0.2">
      <c r="A84" s="1" t="s">
        <v>487</v>
      </c>
      <c r="B84" t="s">
        <v>434</v>
      </c>
      <c r="C84" t="s">
        <v>98</v>
      </c>
      <c r="D84" t="s">
        <v>1970</v>
      </c>
      <c r="E84" t="s">
        <v>26</v>
      </c>
      <c r="F84" t="s">
        <v>99</v>
      </c>
      <c r="G84" t="s">
        <v>46</v>
      </c>
      <c r="H84" t="s">
        <v>28</v>
      </c>
      <c r="I84" t="s">
        <v>29</v>
      </c>
      <c r="J84" t="str">
        <f>+VLOOKUP(A84,[1]Buscador!$B:$E,4,0)</f>
        <v>San Pablo</v>
      </c>
      <c r="K84" t="str">
        <f>+VLOOKUP(A84,[1]Buscador!$B:$F,5,0)</f>
        <v>Santa Elena</v>
      </c>
      <c r="L84" t="s">
        <v>153</v>
      </c>
      <c r="O84" t="s">
        <v>32</v>
      </c>
      <c r="P84" t="s">
        <v>33</v>
      </c>
      <c r="Q84" t="s">
        <v>434</v>
      </c>
      <c r="R84" t="s">
        <v>1922</v>
      </c>
      <c r="S84" t="s">
        <v>488</v>
      </c>
      <c r="T84" t="s">
        <v>489</v>
      </c>
      <c r="U84" t="s">
        <v>490</v>
      </c>
      <c r="V84" t="s">
        <v>491</v>
      </c>
      <c r="W84">
        <v>-2.1404130000000001</v>
      </c>
      <c r="X84">
        <v>-80.777270999999999</v>
      </c>
      <c r="Y84">
        <v>0</v>
      </c>
      <c r="Z84">
        <f>+VLOOKUP(H84,Evalua!$G$2:$H$12,2,0)</f>
        <v>1</v>
      </c>
      <c r="AA84">
        <f>+VLOOKUP(I84,Evalua!$G$2:$H$12,2,0)</f>
        <v>2</v>
      </c>
    </row>
    <row r="85" spans="1:27" x14ac:dyDescent="0.2">
      <c r="A85" s="1" t="s">
        <v>492</v>
      </c>
      <c r="B85" t="s">
        <v>439</v>
      </c>
      <c r="C85" t="s">
        <v>98</v>
      </c>
      <c r="D85" t="s">
        <v>153</v>
      </c>
      <c r="E85" t="s">
        <v>26</v>
      </c>
      <c r="F85" t="s">
        <v>99</v>
      </c>
      <c r="G85" t="s">
        <v>46</v>
      </c>
      <c r="H85" t="s">
        <v>28</v>
      </c>
      <c r="I85" t="s">
        <v>29</v>
      </c>
      <c r="J85" t="str">
        <f>+VLOOKUP(A85,[1]Buscador!$B:$E,4,0)</f>
        <v>Guayaquil</v>
      </c>
      <c r="K85" t="str">
        <f>+VLOOKUP(A85,[1]Buscador!$B:$F,5,0)</f>
        <v>Guayas</v>
      </c>
      <c r="L85" t="s">
        <v>31</v>
      </c>
      <c r="O85" t="s">
        <v>32</v>
      </c>
      <c r="P85" t="s">
        <v>33</v>
      </c>
      <c r="Q85" t="s">
        <v>439</v>
      </c>
      <c r="R85" t="s">
        <v>153</v>
      </c>
      <c r="S85" t="s">
        <v>493</v>
      </c>
      <c r="T85" t="s">
        <v>494</v>
      </c>
      <c r="U85" t="s">
        <v>495</v>
      </c>
      <c r="V85" t="s">
        <v>496</v>
      </c>
      <c r="W85">
        <v>-2.203073973</v>
      </c>
      <c r="X85">
        <v>-79.915665377799996</v>
      </c>
      <c r="Y85">
        <v>0</v>
      </c>
      <c r="Z85">
        <f>+VLOOKUP(H85,Evalua!$G$2:$H$12,2,0)</f>
        <v>1</v>
      </c>
      <c r="AA85">
        <f>+VLOOKUP(I85,Evalua!$G$2:$H$12,2,0)</f>
        <v>2</v>
      </c>
    </row>
    <row r="86" spans="1:27" x14ac:dyDescent="0.2">
      <c r="A86" s="1" t="s">
        <v>497</v>
      </c>
      <c r="B86" t="s">
        <v>444</v>
      </c>
      <c r="C86" t="s">
        <v>98</v>
      </c>
      <c r="D86" t="s">
        <v>153</v>
      </c>
      <c r="E86" t="s">
        <v>26</v>
      </c>
      <c r="F86" t="s">
        <v>99</v>
      </c>
      <c r="G86" t="s">
        <v>46</v>
      </c>
      <c r="H86" t="s">
        <v>81</v>
      </c>
      <c r="I86" t="s">
        <v>29</v>
      </c>
      <c r="J86" t="str">
        <f>+VLOOKUP(A86,[1]Buscador!$B:$E,4,0)</f>
        <v>Guayaquil</v>
      </c>
      <c r="K86" t="str">
        <f>+VLOOKUP(A86,[1]Buscador!$B:$F,5,0)</f>
        <v>Guayas</v>
      </c>
      <c r="L86" t="s">
        <v>31</v>
      </c>
      <c r="O86" t="s">
        <v>82</v>
      </c>
      <c r="P86" t="s">
        <v>83</v>
      </c>
      <c r="Q86" t="s">
        <v>444</v>
      </c>
      <c r="R86" t="s">
        <v>153</v>
      </c>
      <c r="S86" t="s">
        <v>498</v>
      </c>
      <c r="T86" t="s">
        <v>499</v>
      </c>
      <c r="U86" t="s">
        <v>500</v>
      </c>
      <c r="V86" t="s">
        <v>501</v>
      </c>
      <c r="W86">
        <v>-2.1212738859</v>
      </c>
      <c r="X86">
        <v>-79.899860419600003</v>
      </c>
      <c r="Y86">
        <v>0</v>
      </c>
      <c r="Z86">
        <f>+VLOOKUP(H86,Evalua!$G$2:$H$12,2,0)</f>
        <v>3</v>
      </c>
      <c r="AA86">
        <f>+VLOOKUP(I86,Evalua!$G$2:$H$12,2,0)</f>
        <v>2</v>
      </c>
    </row>
    <row r="87" spans="1:27" x14ac:dyDescent="0.2">
      <c r="A87" s="1" t="s">
        <v>502</v>
      </c>
      <c r="B87" t="s">
        <v>449</v>
      </c>
      <c r="C87" t="s">
        <v>98</v>
      </c>
      <c r="D87" t="s">
        <v>153</v>
      </c>
      <c r="E87" t="s">
        <v>26</v>
      </c>
      <c r="F87" t="s">
        <v>99</v>
      </c>
      <c r="G87" t="s">
        <v>46</v>
      </c>
      <c r="H87" t="s">
        <v>28</v>
      </c>
      <c r="I87" t="s">
        <v>29</v>
      </c>
      <c r="J87" t="str">
        <f>+VLOOKUP(A87,[1]Buscador!$B:$E,4,0)</f>
        <v>Guayaquil</v>
      </c>
      <c r="K87" t="str">
        <f>+VLOOKUP(A87,[1]Buscador!$B:$F,5,0)</f>
        <v>Guayas</v>
      </c>
      <c r="L87" t="s">
        <v>31</v>
      </c>
      <c r="O87" t="s">
        <v>32</v>
      </c>
      <c r="P87" t="s">
        <v>33</v>
      </c>
      <c r="Q87" t="s">
        <v>449</v>
      </c>
      <c r="R87" t="s">
        <v>153</v>
      </c>
      <c r="S87" t="s">
        <v>503</v>
      </c>
      <c r="T87" t="s">
        <v>504</v>
      </c>
      <c r="U87" t="s">
        <v>505</v>
      </c>
      <c r="V87" t="s">
        <v>506</v>
      </c>
      <c r="W87">
        <v>-2.2147066028000002</v>
      </c>
      <c r="X87">
        <v>-80.079164378200005</v>
      </c>
      <c r="Y87">
        <v>0</v>
      </c>
      <c r="Z87">
        <f>+VLOOKUP(H87,Evalua!$G$2:$H$12,2,0)</f>
        <v>1</v>
      </c>
      <c r="AA87">
        <f>+VLOOKUP(I87,Evalua!$G$2:$H$12,2,0)</f>
        <v>2</v>
      </c>
    </row>
    <row r="88" spans="1:27" x14ac:dyDescent="0.2">
      <c r="A88" s="1" t="s">
        <v>507</v>
      </c>
      <c r="B88" t="s">
        <v>454</v>
      </c>
      <c r="C88" t="s">
        <v>98</v>
      </c>
      <c r="D88" t="s">
        <v>153</v>
      </c>
      <c r="E88" t="s">
        <v>26</v>
      </c>
      <c r="F88" t="s">
        <v>99</v>
      </c>
      <c r="G88" t="s">
        <v>46</v>
      </c>
      <c r="H88" t="s">
        <v>81</v>
      </c>
      <c r="I88" t="s">
        <v>234</v>
      </c>
      <c r="J88" t="str">
        <f>+VLOOKUP(A88,[1]Buscador!$B:$E,4,0)</f>
        <v>Durán</v>
      </c>
      <c r="K88" t="str">
        <f>+VLOOKUP(A88,[1]Buscador!$B:$F,5,0)</f>
        <v>Guayas</v>
      </c>
      <c r="L88" t="s">
        <v>31</v>
      </c>
      <c r="O88" t="s">
        <v>235</v>
      </c>
      <c r="P88" t="s">
        <v>33</v>
      </c>
      <c r="Q88" t="s">
        <v>454</v>
      </c>
      <c r="R88" t="s">
        <v>153</v>
      </c>
      <c r="S88" t="s">
        <v>508</v>
      </c>
      <c r="T88" t="s">
        <v>509</v>
      </c>
      <c r="U88" t="s">
        <v>510</v>
      </c>
      <c r="V88" t="s">
        <v>511</v>
      </c>
      <c r="W88">
        <v>-2.2138081854</v>
      </c>
      <c r="X88">
        <v>-79.824929546899995</v>
      </c>
      <c r="Y88">
        <v>0</v>
      </c>
      <c r="Z88">
        <f>+VLOOKUP(H88,Evalua!$G$2:$H$12,2,0)</f>
        <v>3</v>
      </c>
      <c r="AA88">
        <f>+VLOOKUP(I88,Evalua!$G$2:$H$12,2,0)</f>
        <v>1</v>
      </c>
    </row>
    <row r="89" spans="1:27" x14ac:dyDescent="0.2">
      <c r="A89" s="1" t="s">
        <v>512</v>
      </c>
      <c r="B89" t="s">
        <v>459</v>
      </c>
      <c r="C89" t="s">
        <v>98</v>
      </c>
      <c r="D89" t="s">
        <v>153</v>
      </c>
      <c r="E89" t="s">
        <v>26</v>
      </c>
      <c r="F89" t="s">
        <v>99</v>
      </c>
      <c r="G89" t="s">
        <v>46</v>
      </c>
      <c r="H89" t="s">
        <v>81</v>
      </c>
      <c r="I89" t="s">
        <v>234</v>
      </c>
      <c r="J89" t="str">
        <f>+VLOOKUP(A89,[1]Buscador!$B:$E,4,0)</f>
        <v>Guayaquil</v>
      </c>
      <c r="K89" t="str">
        <f>+VLOOKUP(A89,[1]Buscador!$B:$F,5,0)</f>
        <v>Guayas</v>
      </c>
      <c r="L89" t="s">
        <v>31</v>
      </c>
      <c r="O89" t="s">
        <v>235</v>
      </c>
      <c r="P89" t="s">
        <v>33</v>
      </c>
      <c r="Q89" t="s">
        <v>459</v>
      </c>
      <c r="R89" t="s">
        <v>153</v>
      </c>
      <c r="S89" t="s">
        <v>513</v>
      </c>
      <c r="T89" t="s">
        <v>514</v>
      </c>
      <c r="U89" t="s">
        <v>515</v>
      </c>
      <c r="V89" t="s">
        <v>516</v>
      </c>
      <c r="W89">
        <v>-2.1012842571000001</v>
      </c>
      <c r="X89">
        <v>-79.936597471699997</v>
      </c>
      <c r="Y89">
        <v>0</v>
      </c>
      <c r="Z89">
        <f>+VLOOKUP(H89,Evalua!$G$2:$H$12,2,0)</f>
        <v>3</v>
      </c>
      <c r="AA89">
        <f>+VLOOKUP(I89,Evalua!$G$2:$H$12,2,0)</f>
        <v>1</v>
      </c>
    </row>
    <row r="90" spans="1:27" x14ac:dyDescent="0.2">
      <c r="A90" s="1" t="s">
        <v>517</v>
      </c>
      <c r="B90" t="s">
        <v>464</v>
      </c>
      <c r="C90" t="s">
        <v>98</v>
      </c>
      <c r="D90" t="s">
        <v>153</v>
      </c>
      <c r="E90" t="s">
        <v>26</v>
      </c>
      <c r="F90" t="s">
        <v>99</v>
      </c>
      <c r="G90" t="s">
        <v>46</v>
      </c>
      <c r="H90" t="s">
        <v>28</v>
      </c>
      <c r="I90" t="s">
        <v>29</v>
      </c>
      <c r="J90" t="str">
        <f>+VLOOKUP(A90,[1]Buscador!$B:$E,4,0)</f>
        <v>Guayaquil</v>
      </c>
      <c r="K90" t="str">
        <f>+VLOOKUP(A90,[1]Buscador!$B:$F,5,0)</f>
        <v>Guayas</v>
      </c>
      <c r="L90" t="s">
        <v>31</v>
      </c>
      <c r="O90" t="s">
        <v>32</v>
      </c>
      <c r="P90" t="s">
        <v>33</v>
      </c>
      <c r="Q90" t="s">
        <v>464</v>
      </c>
      <c r="R90" t="s">
        <v>153</v>
      </c>
      <c r="S90" t="s">
        <v>518</v>
      </c>
      <c r="T90" t="s">
        <v>519</v>
      </c>
      <c r="U90" t="s">
        <v>520</v>
      </c>
      <c r="V90" t="s">
        <v>521</v>
      </c>
      <c r="W90">
        <v>-2.0693902345000001</v>
      </c>
      <c r="X90">
        <v>-79.898141321400004</v>
      </c>
      <c r="Y90">
        <v>0</v>
      </c>
      <c r="Z90">
        <f>+VLOOKUP(H90,Evalua!$G$2:$H$12,2,0)</f>
        <v>1</v>
      </c>
      <c r="AA90">
        <f>+VLOOKUP(I90,Evalua!$G$2:$H$12,2,0)</f>
        <v>2</v>
      </c>
    </row>
    <row r="91" spans="1:27" x14ac:dyDescent="0.2">
      <c r="A91" s="1" t="s">
        <v>522</v>
      </c>
      <c r="B91" t="s">
        <v>468</v>
      </c>
      <c r="C91" t="s">
        <v>98</v>
      </c>
      <c r="D91" t="s">
        <v>153</v>
      </c>
      <c r="E91" t="s">
        <v>26</v>
      </c>
      <c r="F91" t="s">
        <v>99</v>
      </c>
      <c r="G91" t="s">
        <v>46</v>
      </c>
      <c r="H91" t="s">
        <v>28</v>
      </c>
      <c r="I91" t="s">
        <v>29</v>
      </c>
      <c r="J91" t="str">
        <f>+VLOOKUP(A91,[1]Buscador!$B:$E,4,0)</f>
        <v>Samborondón</v>
      </c>
      <c r="K91" t="str">
        <f>+VLOOKUP(A91,[1]Buscador!$B:$F,5,0)</f>
        <v>Guayas</v>
      </c>
      <c r="L91" t="s">
        <v>31</v>
      </c>
      <c r="O91" t="s">
        <v>32</v>
      </c>
      <c r="P91" t="s">
        <v>33</v>
      </c>
      <c r="Q91" t="s">
        <v>468</v>
      </c>
      <c r="R91" t="s">
        <v>153</v>
      </c>
      <c r="S91" t="s">
        <v>523</v>
      </c>
      <c r="T91" t="s">
        <v>524</v>
      </c>
      <c r="U91" t="s">
        <v>525</v>
      </c>
      <c r="V91" t="s">
        <v>526</v>
      </c>
      <c r="W91">
        <v>-2.0762679999999998</v>
      </c>
      <c r="X91">
        <v>-79.857468999999995</v>
      </c>
      <c r="Y91">
        <v>0</v>
      </c>
      <c r="Z91">
        <f>+VLOOKUP(H91,Evalua!$G$2:$H$12,2,0)</f>
        <v>1</v>
      </c>
      <c r="AA91">
        <f>+VLOOKUP(I91,Evalua!$G$2:$H$12,2,0)</f>
        <v>2</v>
      </c>
    </row>
    <row r="92" spans="1:27" x14ac:dyDescent="0.2">
      <c r="A92" s="1" t="s">
        <v>527</v>
      </c>
      <c r="B92" t="s">
        <v>473</v>
      </c>
      <c r="C92" t="s">
        <v>98</v>
      </c>
      <c r="D92" t="s">
        <v>153</v>
      </c>
      <c r="E92" t="s">
        <v>26</v>
      </c>
      <c r="F92" t="s">
        <v>99</v>
      </c>
      <c r="G92" t="s">
        <v>46</v>
      </c>
      <c r="H92" t="s">
        <v>28</v>
      </c>
      <c r="I92" t="s">
        <v>29</v>
      </c>
      <c r="J92" t="str">
        <f>+VLOOKUP(A92,[1]Buscador!$B:$E,4,0)</f>
        <v>Guayaquil</v>
      </c>
      <c r="K92" t="str">
        <f>+VLOOKUP(A92,[1]Buscador!$B:$F,5,0)</f>
        <v>Guayas</v>
      </c>
      <c r="L92" t="s">
        <v>31</v>
      </c>
      <c r="O92" t="s">
        <v>32</v>
      </c>
      <c r="P92" t="s">
        <v>33</v>
      </c>
      <c r="Q92" t="s">
        <v>473</v>
      </c>
      <c r="R92" t="s">
        <v>153</v>
      </c>
      <c r="S92" t="s">
        <v>528</v>
      </c>
      <c r="T92" t="s">
        <v>529</v>
      </c>
      <c r="U92" t="s">
        <v>530</v>
      </c>
      <c r="V92" t="s">
        <v>531</v>
      </c>
      <c r="W92">
        <v>-2.181969</v>
      </c>
      <c r="X92">
        <v>-79.995841999999996</v>
      </c>
      <c r="Y92">
        <v>0</v>
      </c>
      <c r="Z92">
        <f>+VLOOKUP(H92,Evalua!$G$2:$H$12,2,0)</f>
        <v>1</v>
      </c>
      <c r="AA92">
        <f>+VLOOKUP(I92,Evalua!$G$2:$H$12,2,0)</f>
        <v>2</v>
      </c>
    </row>
    <row r="93" spans="1:27" x14ac:dyDescent="0.2">
      <c r="A93" s="1" t="s">
        <v>532</v>
      </c>
      <c r="B93" t="s">
        <v>478</v>
      </c>
      <c r="C93" t="s">
        <v>98</v>
      </c>
      <c r="D93" t="s">
        <v>153</v>
      </c>
      <c r="E93" t="s">
        <v>26</v>
      </c>
      <c r="F93" t="s">
        <v>99</v>
      </c>
      <c r="G93" t="s">
        <v>46</v>
      </c>
      <c r="H93" t="s">
        <v>28</v>
      </c>
      <c r="I93" t="s">
        <v>29</v>
      </c>
      <c r="J93" t="str">
        <f>+VLOOKUP(A93,[1]Buscador!$B:$E,4,0)</f>
        <v>Guayaquil</v>
      </c>
      <c r="K93" t="str">
        <f>+VLOOKUP(A93,[1]Buscador!$B:$F,5,0)</f>
        <v>Guayas</v>
      </c>
      <c r="L93" t="s">
        <v>31</v>
      </c>
      <c r="O93" t="s">
        <v>32</v>
      </c>
      <c r="P93" t="s">
        <v>33</v>
      </c>
      <c r="Q93" t="s">
        <v>478</v>
      </c>
      <c r="R93" t="s">
        <v>153</v>
      </c>
      <c r="S93" t="s">
        <v>533</v>
      </c>
      <c r="T93" t="s">
        <v>534</v>
      </c>
      <c r="U93" t="s">
        <v>535</v>
      </c>
      <c r="V93" t="s">
        <v>536</v>
      </c>
      <c r="W93">
        <v>-2.1813470000000001</v>
      </c>
      <c r="X93">
        <v>-79.891818999999998</v>
      </c>
      <c r="Y93">
        <v>0</v>
      </c>
      <c r="Z93">
        <f>+VLOOKUP(H93,Evalua!$G$2:$H$12,2,0)</f>
        <v>1</v>
      </c>
      <c r="AA93">
        <f>+VLOOKUP(I93,Evalua!$G$2:$H$12,2,0)</f>
        <v>2</v>
      </c>
    </row>
    <row r="94" spans="1:27" x14ac:dyDescent="0.2">
      <c r="A94" s="1" t="s">
        <v>537</v>
      </c>
      <c r="B94" t="s">
        <v>483</v>
      </c>
      <c r="C94" t="s">
        <v>98</v>
      </c>
      <c r="D94" t="s">
        <v>153</v>
      </c>
      <c r="E94" t="s">
        <v>26</v>
      </c>
      <c r="F94" t="s">
        <v>99</v>
      </c>
      <c r="G94" t="s">
        <v>46</v>
      </c>
      <c r="H94" t="s">
        <v>28</v>
      </c>
      <c r="I94" t="s">
        <v>29</v>
      </c>
      <c r="J94" t="str">
        <f>+VLOOKUP(A94,[1]Buscador!$B:$E,4,0)</f>
        <v>La Aurora</v>
      </c>
      <c r="K94" t="str">
        <f>+VLOOKUP(A94,[1]Buscador!$B:$F,5,0)</f>
        <v>Guayas</v>
      </c>
      <c r="L94" t="s">
        <v>153</v>
      </c>
      <c r="O94" t="s">
        <v>32</v>
      </c>
      <c r="P94" t="s">
        <v>33</v>
      </c>
      <c r="Q94" t="s">
        <v>483</v>
      </c>
      <c r="R94" t="s">
        <v>153</v>
      </c>
      <c r="S94" t="s">
        <v>538</v>
      </c>
      <c r="T94" t="s">
        <v>539</v>
      </c>
      <c r="U94" t="s">
        <v>540</v>
      </c>
      <c r="V94" t="s">
        <v>541</v>
      </c>
      <c r="W94">
        <v>-2.0541479735000001</v>
      </c>
      <c r="X94">
        <v>-79.873834894300003</v>
      </c>
      <c r="Y94">
        <v>0</v>
      </c>
      <c r="Z94">
        <f>+VLOOKUP(H94,Evalua!$G$2:$H$12,2,0)</f>
        <v>1</v>
      </c>
      <c r="AA94">
        <f>+VLOOKUP(I94,Evalua!$G$2:$H$12,2,0)</f>
        <v>2</v>
      </c>
    </row>
    <row r="95" spans="1:27" x14ac:dyDescent="0.2">
      <c r="A95" s="1" t="s">
        <v>542</v>
      </c>
      <c r="B95" t="s">
        <v>488</v>
      </c>
      <c r="C95" t="s">
        <v>98</v>
      </c>
      <c r="D95" t="s">
        <v>153</v>
      </c>
      <c r="E95" t="s">
        <v>26</v>
      </c>
      <c r="F95" t="s">
        <v>99</v>
      </c>
      <c r="G95" t="s">
        <v>170</v>
      </c>
      <c r="H95" t="s">
        <v>81</v>
      </c>
      <c r="I95" t="s">
        <v>29</v>
      </c>
      <c r="J95" t="str">
        <f>+VLOOKUP(A95,[1]Buscador!$B:$E,4,0)</f>
        <v>Montecristi</v>
      </c>
      <c r="K95" t="str">
        <f>+VLOOKUP(A95,[1]Buscador!$B:$F,5,0)</f>
        <v>Manabí</v>
      </c>
      <c r="L95" t="s">
        <v>31</v>
      </c>
      <c r="O95" t="s">
        <v>82</v>
      </c>
      <c r="P95" t="s">
        <v>83</v>
      </c>
      <c r="Q95" t="s">
        <v>488</v>
      </c>
      <c r="R95" t="s">
        <v>153</v>
      </c>
      <c r="S95" t="s">
        <v>543</v>
      </c>
      <c r="T95" t="s">
        <v>544</v>
      </c>
      <c r="U95" t="s">
        <v>545</v>
      </c>
      <c r="V95" t="s">
        <v>546</v>
      </c>
      <c r="W95">
        <v>-1.0063040000000001</v>
      </c>
      <c r="X95">
        <v>-80.685981999999996</v>
      </c>
      <c r="Y95">
        <v>0</v>
      </c>
      <c r="Z95">
        <f>+VLOOKUP(H95,Evalua!$G$2:$H$12,2,0)</f>
        <v>3</v>
      </c>
      <c r="AA95">
        <f>+VLOOKUP(I95,Evalua!$G$2:$H$12,2,0)</f>
        <v>2</v>
      </c>
    </row>
    <row r="96" spans="1:27" x14ac:dyDescent="0.2">
      <c r="A96" s="1" t="s">
        <v>547</v>
      </c>
      <c r="B96" t="s">
        <v>493</v>
      </c>
      <c r="C96" t="s">
        <v>98</v>
      </c>
      <c r="D96" t="s">
        <v>153</v>
      </c>
      <c r="E96" t="s">
        <v>26</v>
      </c>
      <c r="F96" t="s">
        <v>99</v>
      </c>
      <c r="G96" t="s">
        <v>170</v>
      </c>
      <c r="H96" t="s">
        <v>81</v>
      </c>
      <c r="I96" t="s">
        <v>29</v>
      </c>
      <c r="J96" t="str">
        <f>+VLOOKUP(A96,[1]Buscador!$B:$E,4,0)</f>
        <v>Portoviejo</v>
      </c>
      <c r="K96" t="str">
        <f>+VLOOKUP(A96,[1]Buscador!$B:$F,5,0)</f>
        <v>Manabí</v>
      </c>
      <c r="L96" t="s">
        <v>31</v>
      </c>
      <c r="O96" t="s">
        <v>82</v>
      </c>
      <c r="P96" t="s">
        <v>83</v>
      </c>
      <c r="Q96" t="s">
        <v>493</v>
      </c>
      <c r="R96" t="s">
        <v>153</v>
      </c>
      <c r="S96" t="s">
        <v>548</v>
      </c>
      <c r="T96" t="s">
        <v>549</v>
      </c>
      <c r="U96" t="s">
        <v>550</v>
      </c>
      <c r="V96" t="s">
        <v>551</v>
      </c>
      <c r="W96">
        <v>-1.0707230000000001</v>
      </c>
      <c r="X96">
        <v>-80.448010999999994</v>
      </c>
      <c r="Y96">
        <v>0</v>
      </c>
      <c r="Z96">
        <f>+VLOOKUP(H96,Evalua!$G$2:$H$12,2,0)</f>
        <v>3</v>
      </c>
      <c r="AA96">
        <f>+VLOOKUP(I96,Evalua!$G$2:$H$12,2,0)</f>
        <v>2</v>
      </c>
    </row>
    <row r="97" spans="1:27" x14ac:dyDescent="0.2">
      <c r="A97" s="1" t="s">
        <v>552</v>
      </c>
      <c r="B97" t="s">
        <v>498</v>
      </c>
      <c r="C97" t="s">
        <v>98</v>
      </c>
      <c r="D97" t="s">
        <v>153</v>
      </c>
      <c r="E97" t="s">
        <v>26</v>
      </c>
      <c r="F97" t="s">
        <v>99</v>
      </c>
      <c r="G97" t="s">
        <v>46</v>
      </c>
      <c r="H97" t="s">
        <v>81</v>
      </c>
      <c r="I97" t="s">
        <v>29</v>
      </c>
      <c r="J97" t="str">
        <f>+VLOOKUP(A97,[1]Buscador!$B:$E,4,0)</f>
        <v>Guayaquil</v>
      </c>
      <c r="K97" t="str">
        <f>+VLOOKUP(A97,[1]Buscador!$B:$F,5,0)</f>
        <v>Guayas</v>
      </c>
      <c r="L97" t="s">
        <v>31</v>
      </c>
      <c r="O97" t="s">
        <v>82</v>
      </c>
      <c r="P97" t="s">
        <v>83</v>
      </c>
      <c r="Q97" t="s">
        <v>498</v>
      </c>
      <c r="R97" t="s">
        <v>153</v>
      </c>
      <c r="S97" t="s">
        <v>553</v>
      </c>
      <c r="T97" t="s">
        <v>554</v>
      </c>
      <c r="U97" t="s">
        <v>555</v>
      </c>
      <c r="V97" t="s">
        <v>556</v>
      </c>
      <c r="W97">
        <v>-2.0936569999999999</v>
      </c>
      <c r="X97">
        <v>-79.937042000000005</v>
      </c>
      <c r="Y97">
        <v>0</v>
      </c>
      <c r="Z97">
        <f>+VLOOKUP(H97,Evalua!$G$2:$H$12,2,0)</f>
        <v>3</v>
      </c>
      <c r="AA97">
        <f>+VLOOKUP(I97,Evalua!$G$2:$H$12,2,0)</f>
        <v>2</v>
      </c>
    </row>
    <row r="98" spans="1:27" x14ac:dyDescent="0.2">
      <c r="A98" s="1" t="s">
        <v>557</v>
      </c>
      <c r="B98" t="s">
        <v>503</v>
      </c>
      <c r="C98" t="s">
        <v>98</v>
      </c>
      <c r="D98" t="s">
        <v>153</v>
      </c>
      <c r="E98" t="s">
        <v>26</v>
      </c>
      <c r="F98" t="s">
        <v>99</v>
      </c>
      <c r="G98" t="s">
        <v>46</v>
      </c>
      <c r="H98" t="s">
        <v>28</v>
      </c>
      <c r="I98" t="s">
        <v>29</v>
      </c>
      <c r="J98" t="str">
        <f>+VLOOKUP(A98,[1]Buscador!$B:$E,4,0)</f>
        <v>Guayaquil</v>
      </c>
      <c r="K98" t="str">
        <f>+VLOOKUP(A98,[1]Buscador!$B:$F,5,0)</f>
        <v>Guayas</v>
      </c>
      <c r="L98" t="s">
        <v>153</v>
      </c>
      <c r="O98" t="s">
        <v>32</v>
      </c>
      <c r="P98" t="s">
        <v>33</v>
      </c>
      <c r="Q98" t="s">
        <v>503</v>
      </c>
      <c r="R98" t="s">
        <v>153</v>
      </c>
      <c r="S98" t="s">
        <v>558</v>
      </c>
      <c r="T98" t="s">
        <v>559</v>
      </c>
      <c r="U98" t="s">
        <v>560</v>
      </c>
      <c r="V98" t="s">
        <v>561</v>
      </c>
      <c r="W98">
        <v>-2.2025320000000002</v>
      </c>
      <c r="X98">
        <v>-79.892351000000005</v>
      </c>
      <c r="Y98">
        <v>0</v>
      </c>
      <c r="Z98">
        <f>+VLOOKUP(H98,Evalua!$G$2:$H$12,2,0)</f>
        <v>1</v>
      </c>
      <c r="AA98">
        <f>+VLOOKUP(I98,Evalua!$G$2:$H$12,2,0)</f>
        <v>2</v>
      </c>
    </row>
    <row r="99" spans="1:27" x14ac:dyDescent="0.2">
      <c r="A99" s="1" t="s">
        <v>562</v>
      </c>
      <c r="B99" t="s">
        <v>508</v>
      </c>
      <c r="C99" t="s">
        <v>98</v>
      </c>
      <c r="D99" t="s">
        <v>153</v>
      </c>
      <c r="E99" t="s">
        <v>26</v>
      </c>
      <c r="F99" t="s">
        <v>99</v>
      </c>
      <c r="G99" t="s">
        <v>46</v>
      </c>
      <c r="H99" t="s">
        <v>28</v>
      </c>
      <c r="I99" t="s">
        <v>29</v>
      </c>
      <c r="J99" t="str">
        <f>+VLOOKUP(A99,[1]Buscador!$B:$E,4,0)</f>
        <v>Guayaquil</v>
      </c>
      <c r="K99" t="str">
        <f>+VLOOKUP(A99,[1]Buscador!$B:$F,5,0)</f>
        <v>Guayas</v>
      </c>
      <c r="L99" t="s">
        <v>31</v>
      </c>
      <c r="O99" t="s">
        <v>32</v>
      </c>
      <c r="P99" t="s">
        <v>33</v>
      </c>
      <c r="Q99" t="s">
        <v>508</v>
      </c>
      <c r="R99" t="s">
        <v>153</v>
      </c>
      <c r="S99" t="s">
        <v>563</v>
      </c>
      <c r="T99" t="s">
        <v>564</v>
      </c>
      <c r="U99" t="s">
        <v>565</v>
      </c>
      <c r="V99" t="s">
        <v>566</v>
      </c>
      <c r="W99">
        <v>-2.1739389999999998</v>
      </c>
      <c r="X99">
        <v>-79.879981000000001</v>
      </c>
      <c r="Y99">
        <v>0</v>
      </c>
      <c r="Z99">
        <f>+VLOOKUP(H99,Evalua!$G$2:$H$12,2,0)</f>
        <v>1</v>
      </c>
      <c r="AA99">
        <f>+VLOOKUP(I99,Evalua!$G$2:$H$12,2,0)</f>
        <v>2</v>
      </c>
    </row>
    <row r="100" spans="1:27" x14ac:dyDescent="0.2">
      <c r="A100" s="1" t="s">
        <v>567</v>
      </c>
      <c r="B100" t="s">
        <v>513</v>
      </c>
      <c r="C100" t="s">
        <v>98</v>
      </c>
      <c r="D100" t="s">
        <v>153</v>
      </c>
      <c r="E100" t="s">
        <v>26</v>
      </c>
      <c r="F100" t="s">
        <v>99</v>
      </c>
      <c r="G100" t="s">
        <v>159</v>
      </c>
      <c r="H100" t="s">
        <v>28</v>
      </c>
      <c r="I100" t="s">
        <v>29</v>
      </c>
      <c r="J100" t="str">
        <f>+VLOOKUP(A100,[1]Buscador!$B:$E,4,0)</f>
        <v>Azogues</v>
      </c>
      <c r="K100" t="str">
        <f>+VLOOKUP(A100,[1]Buscador!$B:$F,5,0)</f>
        <v>Cañar</v>
      </c>
      <c r="L100" t="s">
        <v>31</v>
      </c>
      <c r="O100" t="s">
        <v>32</v>
      </c>
      <c r="P100" t="s">
        <v>33</v>
      </c>
      <c r="Q100" t="s">
        <v>513</v>
      </c>
      <c r="R100" t="s">
        <v>153</v>
      </c>
      <c r="S100" t="s">
        <v>569</v>
      </c>
      <c r="T100" t="s">
        <v>570</v>
      </c>
      <c r="U100" t="s">
        <v>571</v>
      </c>
      <c r="V100" t="s">
        <v>572</v>
      </c>
      <c r="W100">
        <v>-2.7508620147</v>
      </c>
      <c r="X100">
        <v>-78.848690861400001</v>
      </c>
      <c r="Y100">
        <v>0</v>
      </c>
      <c r="Z100">
        <f>+VLOOKUP(H100,Evalua!$G$2:$H$12,2,0)</f>
        <v>1</v>
      </c>
      <c r="AA100">
        <f>+VLOOKUP(I100,Evalua!$G$2:$H$12,2,0)</f>
        <v>2</v>
      </c>
    </row>
    <row r="101" spans="1:27" x14ac:dyDescent="0.2">
      <c r="A101" s="1" t="s">
        <v>573</v>
      </c>
      <c r="B101" t="s">
        <v>518</v>
      </c>
      <c r="C101" t="s">
        <v>98</v>
      </c>
      <c r="D101" t="s">
        <v>153</v>
      </c>
      <c r="E101" t="s">
        <v>26</v>
      </c>
      <c r="F101" t="s">
        <v>99</v>
      </c>
      <c r="G101" t="s">
        <v>46</v>
      </c>
      <c r="H101" t="s">
        <v>28</v>
      </c>
      <c r="I101" t="s">
        <v>29</v>
      </c>
      <c r="J101" t="str">
        <f>+VLOOKUP(A101,[1]Buscador!$B:$E,4,0)</f>
        <v>Guayaquil</v>
      </c>
      <c r="K101" t="str">
        <f>+VLOOKUP(A101,[1]Buscador!$B:$F,5,0)</f>
        <v>Guayas</v>
      </c>
      <c r="L101" t="s">
        <v>31</v>
      </c>
      <c r="O101" t="s">
        <v>32</v>
      </c>
      <c r="P101" t="s">
        <v>33</v>
      </c>
      <c r="Q101" t="s">
        <v>518</v>
      </c>
      <c r="R101" t="s">
        <v>153</v>
      </c>
      <c r="S101" t="s">
        <v>574</v>
      </c>
      <c r="T101" t="s">
        <v>575</v>
      </c>
      <c r="U101" t="s">
        <v>576</v>
      </c>
      <c r="V101" t="s">
        <v>577</v>
      </c>
      <c r="W101">
        <v>-2.1829241009999998</v>
      </c>
      <c r="X101">
        <v>-79.881410434499998</v>
      </c>
      <c r="Y101">
        <v>0</v>
      </c>
      <c r="Z101">
        <f>+VLOOKUP(H101,Evalua!$G$2:$H$12,2,0)</f>
        <v>1</v>
      </c>
      <c r="AA101">
        <f>+VLOOKUP(I101,Evalua!$G$2:$H$12,2,0)</f>
        <v>2</v>
      </c>
    </row>
    <row r="102" spans="1:27" x14ac:dyDescent="0.2">
      <c r="A102" s="1" t="s">
        <v>578</v>
      </c>
      <c r="B102" t="s">
        <v>523</v>
      </c>
      <c r="C102" t="s">
        <v>98</v>
      </c>
      <c r="D102" t="s">
        <v>1970</v>
      </c>
      <c r="E102" t="s">
        <v>26</v>
      </c>
      <c r="F102" t="s">
        <v>99</v>
      </c>
      <c r="G102" t="s">
        <v>46</v>
      </c>
      <c r="H102" t="s">
        <v>28</v>
      </c>
      <c r="I102" t="s">
        <v>29</v>
      </c>
      <c r="J102" t="str">
        <f>+VLOOKUP(A102,[1]Buscador!$B:$E,4,0)</f>
        <v>Montañita</v>
      </c>
      <c r="K102" t="str">
        <f>+VLOOKUP(A102,[1]Buscador!$B:$F,5,0)</f>
        <v>Santa Elena</v>
      </c>
      <c r="L102" t="s">
        <v>31</v>
      </c>
      <c r="O102" t="s">
        <v>32</v>
      </c>
      <c r="P102" t="s">
        <v>33</v>
      </c>
      <c r="Q102" t="s">
        <v>523</v>
      </c>
      <c r="R102" t="s">
        <v>1922</v>
      </c>
      <c r="S102" t="s">
        <v>579</v>
      </c>
      <c r="T102" t="s">
        <v>580</v>
      </c>
      <c r="U102" t="s">
        <v>581</v>
      </c>
      <c r="V102" t="s">
        <v>582</v>
      </c>
      <c r="W102">
        <v>-1.8266960736</v>
      </c>
      <c r="X102">
        <v>-80.753190150199998</v>
      </c>
      <c r="Y102">
        <v>0</v>
      </c>
      <c r="Z102">
        <f>+VLOOKUP(H102,Evalua!$G$2:$H$12,2,0)</f>
        <v>1</v>
      </c>
      <c r="AA102">
        <f>+VLOOKUP(I102,Evalua!$G$2:$H$12,2,0)</f>
        <v>2</v>
      </c>
    </row>
    <row r="103" spans="1:27" x14ac:dyDescent="0.2">
      <c r="A103" s="1" t="s">
        <v>583</v>
      </c>
      <c r="B103" t="s">
        <v>528</v>
      </c>
      <c r="C103" t="s">
        <v>98</v>
      </c>
      <c r="D103" t="s">
        <v>153</v>
      </c>
      <c r="E103" t="s">
        <v>26</v>
      </c>
      <c r="F103" t="s">
        <v>99</v>
      </c>
      <c r="G103" t="s">
        <v>46</v>
      </c>
      <c r="H103" t="s">
        <v>28</v>
      </c>
      <c r="I103" t="s">
        <v>29</v>
      </c>
      <c r="J103" t="str">
        <f>+VLOOKUP(A103,[1]Buscador!$B:$E,4,0)</f>
        <v>Guayaquil</v>
      </c>
      <c r="K103" t="str">
        <f>+VLOOKUP(A103,[1]Buscador!$B:$F,5,0)</f>
        <v>Guayas</v>
      </c>
      <c r="L103" t="s">
        <v>31</v>
      </c>
      <c r="O103" t="s">
        <v>32</v>
      </c>
      <c r="P103" t="s">
        <v>33</v>
      </c>
      <c r="Q103" t="s">
        <v>528</v>
      </c>
      <c r="R103" t="s">
        <v>153</v>
      </c>
      <c r="S103" t="s">
        <v>584</v>
      </c>
      <c r="T103" t="s">
        <v>585</v>
      </c>
      <c r="U103" t="s">
        <v>586</v>
      </c>
      <c r="V103" t="s">
        <v>587</v>
      </c>
      <c r="W103">
        <v>-2.1685807957000001</v>
      </c>
      <c r="X103">
        <v>-79.8790496429</v>
      </c>
      <c r="Y103">
        <v>0</v>
      </c>
      <c r="Z103">
        <f>+VLOOKUP(H103,Evalua!$G$2:$H$12,2,0)</f>
        <v>1</v>
      </c>
      <c r="AA103">
        <f>+VLOOKUP(I103,Evalua!$G$2:$H$12,2,0)</f>
        <v>2</v>
      </c>
    </row>
    <row r="104" spans="1:27" x14ac:dyDescent="0.2">
      <c r="A104" s="1" t="s">
        <v>588</v>
      </c>
      <c r="B104" t="s">
        <v>533</v>
      </c>
      <c r="C104" t="s">
        <v>98</v>
      </c>
      <c r="D104" t="s">
        <v>153</v>
      </c>
      <c r="E104" t="s">
        <v>26</v>
      </c>
      <c r="F104" t="s">
        <v>99</v>
      </c>
      <c r="G104" t="s">
        <v>46</v>
      </c>
      <c r="H104" t="s">
        <v>28</v>
      </c>
      <c r="I104" t="s">
        <v>29</v>
      </c>
      <c r="J104" t="str">
        <f>+VLOOKUP(A104,[1]Buscador!$B:$E,4,0)</f>
        <v>Guayaquil</v>
      </c>
      <c r="K104" t="str">
        <f>+VLOOKUP(A104,[1]Buscador!$B:$F,5,0)</f>
        <v>Guayas</v>
      </c>
      <c r="L104" t="s">
        <v>31</v>
      </c>
      <c r="O104" t="s">
        <v>32</v>
      </c>
      <c r="P104" t="s">
        <v>33</v>
      </c>
      <c r="Q104" t="s">
        <v>533</v>
      </c>
      <c r="R104" t="s">
        <v>153</v>
      </c>
      <c r="S104" t="s">
        <v>589</v>
      </c>
      <c r="T104" t="s">
        <v>590</v>
      </c>
      <c r="U104" t="s">
        <v>591</v>
      </c>
      <c r="V104" t="s">
        <v>592</v>
      </c>
      <c r="W104">
        <v>-2.1975406676000002</v>
      </c>
      <c r="X104">
        <v>-80.059598953999995</v>
      </c>
      <c r="Y104">
        <v>0</v>
      </c>
      <c r="Z104">
        <f>+VLOOKUP(H104,Evalua!$G$2:$H$12,2,0)</f>
        <v>1</v>
      </c>
      <c r="AA104">
        <f>+VLOOKUP(I104,Evalua!$G$2:$H$12,2,0)</f>
        <v>2</v>
      </c>
    </row>
    <row r="105" spans="1:27" x14ac:dyDescent="0.2">
      <c r="A105" s="1" t="s">
        <v>593</v>
      </c>
      <c r="B105" t="s">
        <v>538</v>
      </c>
      <c r="C105" t="s">
        <v>98</v>
      </c>
      <c r="D105" t="s">
        <v>153</v>
      </c>
      <c r="E105" t="s">
        <v>26</v>
      </c>
      <c r="F105" t="s">
        <v>99</v>
      </c>
      <c r="G105" t="s">
        <v>46</v>
      </c>
      <c r="H105" t="s">
        <v>28</v>
      </c>
      <c r="I105" t="s">
        <v>29</v>
      </c>
      <c r="J105" t="str">
        <f>+VLOOKUP(A105,[1]Buscador!$B:$E,4,0)</f>
        <v>Guayaquil</v>
      </c>
      <c r="K105" t="str">
        <f>+VLOOKUP(A105,[1]Buscador!$B:$F,5,0)</f>
        <v>Guayas</v>
      </c>
      <c r="L105" t="s">
        <v>31</v>
      </c>
      <c r="O105" t="s">
        <v>32</v>
      </c>
      <c r="P105" t="s">
        <v>33</v>
      </c>
      <c r="Q105" t="s">
        <v>538</v>
      </c>
      <c r="R105" t="s">
        <v>153</v>
      </c>
      <c r="S105" t="s">
        <v>594</v>
      </c>
      <c r="T105" t="s">
        <v>595</v>
      </c>
      <c r="U105" t="s">
        <v>596</v>
      </c>
      <c r="V105" t="s">
        <v>597</v>
      </c>
      <c r="W105">
        <v>-2.1707506252000002</v>
      </c>
      <c r="X105">
        <v>-79.916886046599998</v>
      </c>
      <c r="Y105">
        <v>0</v>
      </c>
      <c r="Z105">
        <f>+VLOOKUP(H105,Evalua!$G$2:$H$12,2,0)</f>
        <v>1</v>
      </c>
      <c r="AA105">
        <f>+VLOOKUP(I105,Evalua!$G$2:$H$12,2,0)</f>
        <v>2</v>
      </c>
    </row>
    <row r="106" spans="1:27" x14ac:dyDescent="0.2">
      <c r="A106" s="1" t="s">
        <v>598</v>
      </c>
      <c r="B106" t="s">
        <v>543</v>
      </c>
      <c r="C106" t="s">
        <v>98</v>
      </c>
      <c r="D106" t="s">
        <v>153</v>
      </c>
      <c r="E106" t="s">
        <v>26</v>
      </c>
      <c r="F106" t="s">
        <v>99</v>
      </c>
      <c r="G106" t="s">
        <v>46</v>
      </c>
      <c r="H106" t="s">
        <v>28</v>
      </c>
      <c r="I106" t="s">
        <v>29</v>
      </c>
      <c r="J106" t="str">
        <f>+VLOOKUP(A106,[1]Buscador!$B:$E,4,0)</f>
        <v>Ballenita</v>
      </c>
      <c r="K106" t="str">
        <f>+VLOOKUP(A106,[1]Buscador!$B:$F,5,0)</f>
        <v>Santa Elena</v>
      </c>
      <c r="L106" t="s">
        <v>31</v>
      </c>
      <c r="O106" t="s">
        <v>32</v>
      </c>
      <c r="P106" t="s">
        <v>33</v>
      </c>
      <c r="Q106" t="s">
        <v>543</v>
      </c>
      <c r="R106" t="s">
        <v>153</v>
      </c>
      <c r="S106" t="s">
        <v>599</v>
      </c>
      <c r="T106" t="s">
        <v>600</v>
      </c>
      <c r="U106" t="s">
        <v>601</v>
      </c>
      <c r="V106" t="s">
        <v>602</v>
      </c>
      <c r="W106">
        <v>-2.2113564751000001</v>
      </c>
      <c r="X106">
        <v>-80.868662071399996</v>
      </c>
      <c r="Y106">
        <v>0</v>
      </c>
      <c r="Z106">
        <f>+VLOOKUP(H106,Evalua!$G$2:$H$12,2,0)</f>
        <v>1</v>
      </c>
      <c r="AA106">
        <f>+VLOOKUP(I106,Evalua!$G$2:$H$12,2,0)</f>
        <v>2</v>
      </c>
    </row>
    <row r="107" spans="1:27" x14ac:dyDescent="0.2">
      <c r="A107" s="1" t="s">
        <v>603</v>
      </c>
      <c r="B107" t="s">
        <v>548</v>
      </c>
      <c r="C107" t="s">
        <v>98</v>
      </c>
      <c r="D107" t="s">
        <v>153</v>
      </c>
      <c r="E107" t="s">
        <v>26</v>
      </c>
      <c r="F107" t="s">
        <v>99</v>
      </c>
      <c r="G107" t="s">
        <v>46</v>
      </c>
      <c r="H107" t="s">
        <v>81</v>
      </c>
      <c r="I107" t="s">
        <v>234</v>
      </c>
      <c r="J107" t="str">
        <f>+VLOOKUP(A107,[1]Buscador!$B:$E,4,0)</f>
        <v>Guayaquil</v>
      </c>
      <c r="K107" t="str">
        <f>+VLOOKUP(A107,[1]Buscador!$B:$F,5,0)</f>
        <v>Guayas</v>
      </c>
      <c r="L107" t="s">
        <v>31</v>
      </c>
      <c r="O107" t="s">
        <v>235</v>
      </c>
      <c r="P107" t="s">
        <v>33</v>
      </c>
      <c r="Q107" t="s">
        <v>548</v>
      </c>
      <c r="R107" t="s">
        <v>153</v>
      </c>
      <c r="S107" t="s">
        <v>604</v>
      </c>
      <c r="T107" t="s">
        <v>605</v>
      </c>
      <c r="U107" t="s">
        <v>606</v>
      </c>
      <c r="V107" t="s">
        <v>607</v>
      </c>
      <c r="W107">
        <v>-2.1593596393999999</v>
      </c>
      <c r="X107">
        <v>-79.927935822099997</v>
      </c>
      <c r="Y107">
        <v>0</v>
      </c>
      <c r="Z107">
        <f>+VLOOKUP(H107,Evalua!$G$2:$H$12,2,0)</f>
        <v>3</v>
      </c>
      <c r="AA107">
        <f>+VLOOKUP(I107,Evalua!$G$2:$H$12,2,0)</f>
        <v>1</v>
      </c>
    </row>
    <row r="108" spans="1:27" x14ac:dyDescent="0.2">
      <c r="A108" s="1" t="s">
        <v>608</v>
      </c>
      <c r="B108" t="s">
        <v>553</v>
      </c>
      <c r="C108" t="s">
        <v>98</v>
      </c>
      <c r="D108" t="s">
        <v>153</v>
      </c>
      <c r="E108" t="s">
        <v>26</v>
      </c>
      <c r="F108" t="s">
        <v>99</v>
      </c>
      <c r="G108" t="s">
        <v>46</v>
      </c>
      <c r="H108" t="s">
        <v>28</v>
      </c>
      <c r="I108" t="s">
        <v>29</v>
      </c>
      <c r="J108" t="str">
        <f>+VLOOKUP(A108,[1]Buscador!$B:$E,4,0)</f>
        <v>Guayaquil</v>
      </c>
      <c r="K108" t="str">
        <f>+VLOOKUP(A108,[1]Buscador!$B:$F,5,0)</f>
        <v>Guayas</v>
      </c>
      <c r="L108" t="s">
        <v>31</v>
      </c>
      <c r="O108" t="s">
        <v>32</v>
      </c>
      <c r="P108" t="s">
        <v>33</v>
      </c>
      <c r="Q108" t="s">
        <v>553</v>
      </c>
      <c r="R108" t="s">
        <v>153</v>
      </c>
      <c r="S108" t="s">
        <v>609</v>
      </c>
      <c r="T108" t="s">
        <v>610</v>
      </c>
      <c r="U108" t="s">
        <v>611</v>
      </c>
      <c r="V108" t="s">
        <v>612</v>
      </c>
      <c r="W108">
        <v>-2.1653910000000001</v>
      </c>
      <c r="X108">
        <v>-79.923584000000005</v>
      </c>
      <c r="Y108">
        <v>0</v>
      </c>
      <c r="Z108">
        <f>+VLOOKUP(H108,Evalua!$G$2:$H$12,2,0)</f>
        <v>1</v>
      </c>
      <c r="AA108">
        <f>+VLOOKUP(I108,Evalua!$G$2:$H$12,2,0)</f>
        <v>2</v>
      </c>
    </row>
    <row r="109" spans="1:27" x14ac:dyDescent="0.2">
      <c r="A109" s="1" t="s">
        <v>613</v>
      </c>
      <c r="B109" t="s">
        <v>558</v>
      </c>
      <c r="C109" t="s">
        <v>98</v>
      </c>
      <c r="D109" t="s">
        <v>153</v>
      </c>
      <c r="E109" t="s">
        <v>26</v>
      </c>
      <c r="F109" t="s">
        <v>99</v>
      </c>
      <c r="G109" t="s">
        <v>46</v>
      </c>
      <c r="H109" t="s">
        <v>28</v>
      </c>
      <c r="I109" t="s">
        <v>29</v>
      </c>
      <c r="J109" t="str">
        <f>+VLOOKUP(A109,[1]Buscador!$B:$E,4,0)</f>
        <v>Guayaquil</v>
      </c>
      <c r="K109" t="str">
        <f>+VLOOKUP(A109,[1]Buscador!$B:$F,5,0)</f>
        <v>Guayas</v>
      </c>
      <c r="L109" t="s">
        <v>153</v>
      </c>
      <c r="O109" t="s">
        <v>32</v>
      </c>
      <c r="P109" t="s">
        <v>33</v>
      </c>
      <c r="Q109" t="s">
        <v>558</v>
      </c>
      <c r="R109" t="s">
        <v>153</v>
      </c>
      <c r="S109" t="s">
        <v>614</v>
      </c>
      <c r="T109" t="s">
        <v>615</v>
      </c>
      <c r="U109" t="s">
        <v>616</v>
      </c>
      <c r="V109" t="s">
        <v>617</v>
      </c>
      <c r="W109">
        <v>-2.2611319999999999</v>
      </c>
      <c r="X109">
        <v>-79.878462999999996</v>
      </c>
      <c r="Y109">
        <v>0</v>
      </c>
      <c r="Z109">
        <f>+VLOOKUP(H109,Evalua!$G$2:$H$12,2,0)</f>
        <v>1</v>
      </c>
      <c r="AA109">
        <f>+VLOOKUP(I109,Evalua!$G$2:$H$12,2,0)</f>
        <v>2</v>
      </c>
    </row>
    <row r="110" spans="1:27" x14ac:dyDescent="0.2">
      <c r="A110" s="1" t="s">
        <v>618</v>
      </c>
      <c r="B110" t="s">
        <v>563</v>
      </c>
      <c r="C110" t="s">
        <v>98</v>
      </c>
      <c r="D110" t="s">
        <v>153</v>
      </c>
      <c r="E110" t="s">
        <v>26</v>
      </c>
      <c r="F110" t="s">
        <v>99</v>
      </c>
      <c r="G110" t="s">
        <v>46</v>
      </c>
      <c r="H110" t="s">
        <v>28</v>
      </c>
      <c r="I110" t="s">
        <v>29</v>
      </c>
      <c r="J110" t="str">
        <f>+VLOOKUP(A110,[1]Buscador!$B:$E,4,0)</f>
        <v>La Aurora</v>
      </c>
      <c r="K110" t="str">
        <f>+VLOOKUP(A110,[1]Buscador!$B:$F,5,0)</f>
        <v>Guayas</v>
      </c>
      <c r="L110" t="s">
        <v>153</v>
      </c>
      <c r="O110" t="s">
        <v>32</v>
      </c>
      <c r="P110" t="s">
        <v>33</v>
      </c>
      <c r="Q110" t="s">
        <v>563</v>
      </c>
      <c r="R110" t="s">
        <v>153</v>
      </c>
      <c r="S110" t="s">
        <v>619</v>
      </c>
      <c r="T110" t="s">
        <v>620</v>
      </c>
      <c r="U110" t="s">
        <v>621</v>
      </c>
      <c r="V110" t="s">
        <v>622</v>
      </c>
      <c r="W110">
        <v>-2.0535766783999998</v>
      </c>
      <c r="X110">
        <v>-79.916158661400004</v>
      </c>
      <c r="Y110">
        <v>0</v>
      </c>
      <c r="Z110">
        <f>+VLOOKUP(H110,Evalua!$G$2:$H$12,2,0)</f>
        <v>1</v>
      </c>
      <c r="AA110">
        <f>+VLOOKUP(I110,Evalua!$G$2:$H$12,2,0)</f>
        <v>2</v>
      </c>
    </row>
    <row r="111" spans="1:27" x14ac:dyDescent="0.2">
      <c r="A111" s="1" t="s">
        <v>623</v>
      </c>
      <c r="B111" t="s">
        <v>569</v>
      </c>
      <c r="C111" t="s">
        <v>98</v>
      </c>
      <c r="D111" t="s">
        <v>153</v>
      </c>
      <c r="E111" t="s">
        <v>26</v>
      </c>
      <c r="F111" t="s">
        <v>99</v>
      </c>
      <c r="G111" t="s">
        <v>27</v>
      </c>
      <c r="H111" t="s">
        <v>28</v>
      </c>
      <c r="I111" t="s">
        <v>160</v>
      </c>
      <c r="J111" t="str">
        <f>+VLOOKUP(A111,[1]Buscador!$B:$E,4,0)</f>
        <v>Quito</v>
      </c>
      <c r="K111" t="str">
        <f>+VLOOKUP(A111,[1]Buscador!$B:$F,5,0)</f>
        <v>Pichincha</v>
      </c>
      <c r="L111" t="s">
        <v>153</v>
      </c>
      <c r="O111" t="s">
        <v>162</v>
      </c>
      <c r="P111" t="s">
        <v>83</v>
      </c>
      <c r="Q111" t="s">
        <v>569</v>
      </c>
      <c r="R111" t="s">
        <v>153</v>
      </c>
      <c r="S111" t="s">
        <v>624</v>
      </c>
      <c r="T111" t="s">
        <v>625</v>
      </c>
      <c r="U111" t="s">
        <v>626</v>
      </c>
      <c r="V111" t="s">
        <v>627</v>
      </c>
      <c r="W111">
        <v>-0.14439099999999999</v>
      </c>
      <c r="X111">
        <v>-78.481917999999993</v>
      </c>
      <c r="Y111">
        <v>0</v>
      </c>
      <c r="Z111">
        <f>+VLOOKUP(H111,Evalua!$G$2:$H$12,2,0)</f>
        <v>1</v>
      </c>
      <c r="AA111">
        <f>+VLOOKUP(I111,Evalua!$G$2:$H$12,2,0)</f>
        <v>3</v>
      </c>
    </row>
    <row r="112" spans="1:27" x14ac:dyDescent="0.2">
      <c r="A112" s="1" t="s">
        <v>628</v>
      </c>
      <c r="B112" t="s">
        <v>574</v>
      </c>
      <c r="C112" t="s">
        <v>98</v>
      </c>
      <c r="D112" t="s">
        <v>153</v>
      </c>
      <c r="E112" t="s">
        <v>26</v>
      </c>
      <c r="F112" t="s">
        <v>99</v>
      </c>
      <c r="G112" t="s">
        <v>46</v>
      </c>
      <c r="H112" t="s">
        <v>28</v>
      </c>
      <c r="I112" t="s">
        <v>29</v>
      </c>
      <c r="J112" t="str">
        <f>+VLOOKUP(A112,[1]Buscador!$B:$E,4,0)</f>
        <v>Guayaquil</v>
      </c>
      <c r="K112" t="str">
        <f>+VLOOKUP(A112,[1]Buscador!$B:$F,5,0)</f>
        <v>Guayas</v>
      </c>
      <c r="L112" t="s">
        <v>153</v>
      </c>
      <c r="O112" t="s">
        <v>32</v>
      </c>
      <c r="P112" t="s">
        <v>33</v>
      </c>
      <c r="Q112" t="s">
        <v>574</v>
      </c>
      <c r="R112" t="s">
        <v>153</v>
      </c>
      <c r="S112" t="s">
        <v>629</v>
      </c>
      <c r="T112" t="s">
        <v>630</v>
      </c>
      <c r="U112" t="s">
        <v>631</v>
      </c>
      <c r="V112" t="s">
        <v>632</v>
      </c>
      <c r="W112">
        <v>-2.1891975473</v>
      </c>
      <c r="X112">
        <v>-79.889251477100004</v>
      </c>
      <c r="Y112">
        <v>0</v>
      </c>
      <c r="Z112">
        <f>+VLOOKUP(H112,Evalua!$G$2:$H$12,2,0)</f>
        <v>1</v>
      </c>
      <c r="AA112">
        <f>+VLOOKUP(I112,Evalua!$G$2:$H$12,2,0)</f>
        <v>2</v>
      </c>
    </row>
    <row r="113" spans="1:27" x14ac:dyDescent="0.2">
      <c r="A113" s="1" t="s">
        <v>633</v>
      </c>
      <c r="B113" t="s">
        <v>579</v>
      </c>
      <c r="C113" t="s">
        <v>98</v>
      </c>
      <c r="D113" t="s">
        <v>153</v>
      </c>
      <c r="E113" t="s">
        <v>26</v>
      </c>
      <c r="F113" t="s">
        <v>99</v>
      </c>
      <c r="G113" t="s">
        <v>46</v>
      </c>
      <c r="H113" t="s">
        <v>28</v>
      </c>
      <c r="I113" t="s">
        <v>29</v>
      </c>
      <c r="J113" t="str">
        <f>+VLOOKUP(A113,[1]Buscador!$B:$E,4,0)</f>
        <v>Guayaquil</v>
      </c>
      <c r="K113" t="str">
        <f>+VLOOKUP(A113,[1]Buscador!$B:$F,5,0)</f>
        <v>Guayas</v>
      </c>
      <c r="L113" t="s">
        <v>31</v>
      </c>
      <c r="O113" t="s">
        <v>32</v>
      </c>
      <c r="P113" t="s">
        <v>33</v>
      </c>
      <c r="Q113" t="s">
        <v>579</v>
      </c>
      <c r="R113" t="s">
        <v>153</v>
      </c>
      <c r="S113" t="s">
        <v>634</v>
      </c>
      <c r="T113" t="s">
        <v>635</v>
      </c>
      <c r="U113" t="s">
        <v>636</v>
      </c>
      <c r="V113" t="s">
        <v>637</v>
      </c>
      <c r="W113">
        <v>-2.1800670462</v>
      </c>
      <c r="X113">
        <v>-79.944811350099997</v>
      </c>
      <c r="Y113">
        <v>0</v>
      </c>
      <c r="Z113">
        <f>+VLOOKUP(H113,Evalua!$G$2:$H$12,2,0)</f>
        <v>1</v>
      </c>
      <c r="AA113">
        <f>+VLOOKUP(I113,Evalua!$G$2:$H$12,2,0)</f>
        <v>2</v>
      </c>
    </row>
    <row r="114" spans="1:27" x14ac:dyDescent="0.2">
      <c r="A114" s="1" t="s">
        <v>638</v>
      </c>
      <c r="B114" t="s">
        <v>584</v>
      </c>
      <c r="C114" t="s">
        <v>98</v>
      </c>
      <c r="D114" t="s">
        <v>153</v>
      </c>
      <c r="E114" t="s">
        <v>26</v>
      </c>
      <c r="F114" t="s">
        <v>99</v>
      </c>
      <c r="G114" t="s">
        <v>46</v>
      </c>
      <c r="H114" t="s">
        <v>28</v>
      </c>
      <c r="I114" t="s">
        <v>29</v>
      </c>
      <c r="J114" t="str">
        <f>+VLOOKUP(A114,[1]Buscador!$B:$E,4,0)</f>
        <v>Guayaquil</v>
      </c>
      <c r="K114" t="str">
        <f>+VLOOKUP(A114,[1]Buscador!$B:$F,5,0)</f>
        <v>Guayas</v>
      </c>
      <c r="L114" t="s">
        <v>153</v>
      </c>
      <c r="O114" t="s">
        <v>32</v>
      </c>
      <c r="P114" t="s">
        <v>33</v>
      </c>
      <c r="Q114" t="s">
        <v>584</v>
      </c>
      <c r="R114" t="s">
        <v>153</v>
      </c>
      <c r="S114" t="s">
        <v>639</v>
      </c>
      <c r="T114" t="s">
        <v>640</v>
      </c>
      <c r="U114" t="s">
        <v>641</v>
      </c>
      <c r="V114" t="s">
        <v>642</v>
      </c>
      <c r="W114">
        <v>-2.1901609999999998</v>
      </c>
      <c r="X114">
        <v>-79.886549000000002</v>
      </c>
      <c r="Y114">
        <v>0</v>
      </c>
      <c r="Z114">
        <f>+VLOOKUP(H114,Evalua!$G$2:$H$12,2,0)</f>
        <v>1</v>
      </c>
      <c r="AA114">
        <f>+VLOOKUP(I114,Evalua!$G$2:$H$12,2,0)</f>
        <v>2</v>
      </c>
    </row>
    <row r="115" spans="1:27" x14ac:dyDescent="0.2">
      <c r="A115" s="1" t="s">
        <v>643</v>
      </c>
      <c r="B115" t="s">
        <v>589</v>
      </c>
      <c r="C115" t="s">
        <v>98</v>
      </c>
      <c r="D115" t="s">
        <v>1970</v>
      </c>
      <c r="E115" t="s">
        <v>26</v>
      </c>
      <c r="F115" t="s">
        <v>99</v>
      </c>
      <c r="G115" t="s">
        <v>46</v>
      </c>
      <c r="H115" t="s">
        <v>28</v>
      </c>
      <c r="I115" t="s">
        <v>29</v>
      </c>
      <c r="J115" t="str">
        <f>+VLOOKUP(A115,[1]Buscador!$B:$E,4,0)</f>
        <v>Salinas</v>
      </c>
      <c r="K115" t="str">
        <f>+VLOOKUP(A115,[1]Buscador!$B:$F,5,0)</f>
        <v>Santa Elena</v>
      </c>
      <c r="L115" t="s">
        <v>418</v>
      </c>
      <c r="M115">
        <v>0</v>
      </c>
      <c r="N115">
        <v>4</v>
      </c>
      <c r="O115" t="s">
        <v>32</v>
      </c>
      <c r="P115" t="s">
        <v>33</v>
      </c>
      <c r="Q115" t="s">
        <v>589</v>
      </c>
      <c r="R115" t="s">
        <v>1922</v>
      </c>
      <c r="S115" t="s">
        <v>644</v>
      </c>
      <c r="T115" t="s">
        <v>645</v>
      </c>
      <c r="U115" t="s">
        <v>646</v>
      </c>
      <c r="V115" t="s">
        <v>647</v>
      </c>
      <c r="W115">
        <v>-2.2049575175</v>
      </c>
      <c r="X115">
        <v>-80.973525440499998</v>
      </c>
      <c r="Y115">
        <v>0</v>
      </c>
      <c r="Z115">
        <f>+VLOOKUP(H115,Evalua!$G$2:$H$12,2,0)</f>
        <v>1</v>
      </c>
      <c r="AA115">
        <f>+VLOOKUP(I115,Evalua!$G$2:$H$12,2,0)</f>
        <v>2</v>
      </c>
    </row>
    <row r="116" spans="1:27" x14ac:dyDescent="0.2">
      <c r="A116" s="1" t="s">
        <v>648</v>
      </c>
      <c r="B116" t="s">
        <v>594</v>
      </c>
      <c r="C116" t="s">
        <v>98</v>
      </c>
      <c r="D116" t="s">
        <v>1970</v>
      </c>
      <c r="E116" t="s">
        <v>26</v>
      </c>
      <c r="F116" t="s">
        <v>99</v>
      </c>
      <c r="G116" t="s">
        <v>170</v>
      </c>
      <c r="H116" t="s">
        <v>123</v>
      </c>
      <c r="I116" t="s">
        <v>160</v>
      </c>
      <c r="J116" t="str">
        <f>+VLOOKUP(A116,[1]Buscador!$B:$E,4,0)</f>
        <v>Manta</v>
      </c>
      <c r="K116" t="str">
        <f>+VLOOKUP(A116,[1]Buscador!$B:$F,5,0)</f>
        <v>Manabí</v>
      </c>
      <c r="L116" t="s">
        <v>153</v>
      </c>
      <c r="O116" t="s">
        <v>370</v>
      </c>
      <c r="P116" t="s">
        <v>126</v>
      </c>
      <c r="Q116" t="s">
        <v>594</v>
      </c>
      <c r="R116" t="s">
        <v>153</v>
      </c>
      <c r="S116" t="s">
        <v>649</v>
      </c>
      <c r="T116" t="s">
        <v>650</v>
      </c>
      <c r="U116" t="s">
        <v>651</v>
      </c>
      <c r="V116" t="s">
        <v>652</v>
      </c>
      <c r="W116">
        <v>-0.94494581789999998</v>
      </c>
      <c r="X116">
        <v>-80.732905258900004</v>
      </c>
      <c r="Y116">
        <v>0</v>
      </c>
      <c r="Z116">
        <f>+VLOOKUP(H116,Evalua!$G$2:$H$12,2,0)</f>
        <v>4</v>
      </c>
      <c r="AA116">
        <f>+VLOOKUP(I116,Evalua!$G$2:$H$12,2,0)</f>
        <v>3</v>
      </c>
    </row>
    <row r="117" spans="1:27" x14ac:dyDescent="0.2">
      <c r="A117" s="1" t="s">
        <v>653</v>
      </c>
      <c r="B117" t="s">
        <v>599</v>
      </c>
      <c r="C117" t="s">
        <v>98</v>
      </c>
      <c r="D117" t="s">
        <v>153</v>
      </c>
      <c r="E117" t="s">
        <v>26</v>
      </c>
      <c r="F117" t="s">
        <v>99</v>
      </c>
      <c r="G117" t="s">
        <v>46</v>
      </c>
      <c r="H117" t="s">
        <v>81</v>
      </c>
      <c r="I117" t="s">
        <v>160</v>
      </c>
      <c r="J117" t="str">
        <f>+VLOOKUP(A117,[1]Buscador!$B:$E,4,0)</f>
        <v>Guayaquil</v>
      </c>
      <c r="K117" t="str">
        <f>+VLOOKUP(A117,[1]Buscador!$B:$F,5,0)</f>
        <v>Guayas</v>
      </c>
      <c r="L117" t="s">
        <v>153</v>
      </c>
      <c r="O117" t="s">
        <v>208</v>
      </c>
      <c r="P117" t="s">
        <v>126</v>
      </c>
      <c r="Q117" t="s">
        <v>599</v>
      </c>
      <c r="R117" t="s">
        <v>153</v>
      </c>
      <c r="S117" t="s">
        <v>654</v>
      </c>
      <c r="T117" t="s">
        <v>655</v>
      </c>
      <c r="U117" t="s">
        <v>656</v>
      </c>
      <c r="V117" t="s">
        <v>657</v>
      </c>
      <c r="W117">
        <v>-2.1573090000000001</v>
      </c>
      <c r="X117">
        <v>-79.930796999999998</v>
      </c>
      <c r="Y117">
        <v>0</v>
      </c>
      <c r="Z117">
        <f>+VLOOKUP(H117,Evalua!$G$2:$H$12,2,0)</f>
        <v>3</v>
      </c>
      <c r="AA117">
        <f>+VLOOKUP(I117,Evalua!$G$2:$H$12,2,0)</f>
        <v>3</v>
      </c>
    </row>
    <row r="118" spans="1:27" x14ac:dyDescent="0.2">
      <c r="A118" s="1" t="s">
        <v>658</v>
      </c>
      <c r="B118" t="s">
        <v>604</v>
      </c>
      <c r="C118" t="s">
        <v>98</v>
      </c>
      <c r="D118" t="s">
        <v>153</v>
      </c>
      <c r="E118" t="s">
        <v>26</v>
      </c>
      <c r="F118" t="s">
        <v>99</v>
      </c>
      <c r="G118" t="s">
        <v>27</v>
      </c>
      <c r="H118" t="s">
        <v>28</v>
      </c>
      <c r="I118" t="s">
        <v>29</v>
      </c>
      <c r="J118" t="str">
        <f>+VLOOKUP(A118,[1]Buscador!$B:$E,4,0)</f>
        <v>Quito</v>
      </c>
      <c r="K118" t="str">
        <f>+VLOOKUP(A118,[1]Buscador!$B:$F,5,0)</f>
        <v>Pichincha</v>
      </c>
      <c r="L118" t="s">
        <v>31</v>
      </c>
      <c r="O118" t="s">
        <v>32</v>
      </c>
      <c r="P118" t="s">
        <v>33</v>
      </c>
      <c r="Q118" t="s">
        <v>604</v>
      </c>
      <c r="R118" t="s">
        <v>153</v>
      </c>
      <c r="S118" t="s">
        <v>659</v>
      </c>
      <c r="T118" t="s">
        <v>660</v>
      </c>
      <c r="U118" t="s">
        <v>661</v>
      </c>
      <c r="V118" t="s">
        <v>662</v>
      </c>
      <c r="W118">
        <v>-0.20732100000000001</v>
      </c>
      <c r="X118">
        <v>-78.495140000000006</v>
      </c>
      <c r="Y118">
        <v>0</v>
      </c>
      <c r="Z118">
        <f>+VLOOKUP(H118,Evalua!$G$2:$H$12,2,0)</f>
        <v>1</v>
      </c>
      <c r="AA118">
        <f>+VLOOKUP(I118,Evalua!$G$2:$H$12,2,0)</f>
        <v>2</v>
      </c>
    </row>
    <row r="119" spans="1:27" x14ac:dyDescent="0.2">
      <c r="A119" s="1" t="s">
        <v>663</v>
      </c>
      <c r="B119" t="s">
        <v>609</v>
      </c>
      <c r="C119" t="s">
        <v>98</v>
      </c>
      <c r="D119" t="s">
        <v>153</v>
      </c>
      <c r="E119" t="s">
        <v>26</v>
      </c>
      <c r="F119" t="s">
        <v>99</v>
      </c>
      <c r="G119" t="s">
        <v>27</v>
      </c>
      <c r="H119" t="s">
        <v>28</v>
      </c>
      <c r="I119" t="s">
        <v>29</v>
      </c>
      <c r="J119" t="str">
        <f>+VLOOKUP(A119,[1]Buscador!$B:$E,4,0)</f>
        <v>Quito</v>
      </c>
      <c r="K119" t="str">
        <f>+VLOOKUP(A119,[1]Buscador!$B:$F,5,0)</f>
        <v>Pichincha</v>
      </c>
      <c r="L119" t="s">
        <v>31</v>
      </c>
      <c r="O119" t="s">
        <v>32</v>
      </c>
      <c r="P119" t="s">
        <v>33</v>
      </c>
      <c r="Q119" t="s">
        <v>609</v>
      </c>
      <c r="R119" t="s">
        <v>153</v>
      </c>
      <c r="S119" t="s">
        <v>664</v>
      </c>
      <c r="T119" t="s">
        <v>665</v>
      </c>
      <c r="U119" t="s">
        <v>666</v>
      </c>
      <c r="V119" t="s">
        <v>667</v>
      </c>
      <c r="W119">
        <v>-0.20693900000000001</v>
      </c>
      <c r="X119">
        <v>-78.495165999999998</v>
      </c>
      <c r="Y119">
        <v>0</v>
      </c>
      <c r="Z119">
        <f>+VLOOKUP(H119,Evalua!$G$2:$H$12,2,0)</f>
        <v>1</v>
      </c>
      <c r="AA119">
        <f>+VLOOKUP(I119,Evalua!$G$2:$H$12,2,0)</f>
        <v>2</v>
      </c>
    </row>
    <row r="120" spans="1:27" x14ac:dyDescent="0.2">
      <c r="A120" s="1" t="s">
        <v>668</v>
      </c>
      <c r="B120" t="s">
        <v>614</v>
      </c>
      <c r="C120" t="s">
        <v>98</v>
      </c>
      <c r="D120" t="s">
        <v>153</v>
      </c>
      <c r="E120" t="s">
        <v>26</v>
      </c>
      <c r="F120" t="s">
        <v>99</v>
      </c>
      <c r="G120" t="s">
        <v>46</v>
      </c>
      <c r="H120" t="s">
        <v>28</v>
      </c>
      <c r="I120" t="s">
        <v>29</v>
      </c>
      <c r="J120" t="str">
        <f>+VLOOKUP(A120,[1]Buscador!$B:$E,4,0)</f>
        <v>Guayaquil</v>
      </c>
      <c r="K120" t="str">
        <f>+VLOOKUP(A120,[1]Buscador!$B:$F,5,0)</f>
        <v>Guayas</v>
      </c>
      <c r="L120" t="s">
        <v>31</v>
      </c>
      <c r="O120" t="s">
        <v>32</v>
      </c>
      <c r="P120" t="s">
        <v>33</v>
      </c>
      <c r="Q120" t="s">
        <v>614</v>
      </c>
      <c r="R120" t="s">
        <v>153</v>
      </c>
      <c r="S120" t="s">
        <v>669</v>
      </c>
      <c r="T120" t="s">
        <v>670</v>
      </c>
      <c r="U120" t="s">
        <v>671</v>
      </c>
      <c r="V120" t="s">
        <v>672</v>
      </c>
      <c r="W120">
        <v>-2.1450867457</v>
      </c>
      <c r="X120">
        <v>-79.912649527400006</v>
      </c>
      <c r="Y120">
        <v>0</v>
      </c>
      <c r="Z120">
        <f>+VLOOKUP(H120,Evalua!$G$2:$H$12,2,0)</f>
        <v>1</v>
      </c>
      <c r="AA120">
        <f>+VLOOKUP(I120,Evalua!$G$2:$H$12,2,0)</f>
        <v>2</v>
      </c>
    </row>
    <row r="121" spans="1:27" x14ac:dyDescent="0.2">
      <c r="A121" s="1" t="s">
        <v>673</v>
      </c>
      <c r="B121" t="s">
        <v>619</v>
      </c>
      <c r="C121" t="s">
        <v>98</v>
      </c>
      <c r="D121" t="s">
        <v>153</v>
      </c>
      <c r="E121" t="s">
        <v>26</v>
      </c>
      <c r="F121" t="s">
        <v>99</v>
      </c>
      <c r="G121" t="s">
        <v>46</v>
      </c>
      <c r="H121" t="s">
        <v>28</v>
      </c>
      <c r="I121" t="s">
        <v>29</v>
      </c>
      <c r="J121" t="str">
        <f>+VLOOKUP(A121,[1]Buscador!$B:$E,4,0)</f>
        <v>La Aurora</v>
      </c>
      <c r="K121" t="str">
        <f>+VLOOKUP(A121,[1]Buscador!$B:$F,5,0)</f>
        <v>Guayas</v>
      </c>
      <c r="L121" t="s">
        <v>31</v>
      </c>
      <c r="O121" t="s">
        <v>32</v>
      </c>
      <c r="P121" t="s">
        <v>33</v>
      </c>
      <c r="Q121" t="s">
        <v>619</v>
      </c>
      <c r="R121" t="s">
        <v>153</v>
      </c>
      <c r="S121" t="s">
        <v>675</v>
      </c>
      <c r="T121" t="s">
        <v>676</v>
      </c>
      <c r="U121" t="s">
        <v>677</v>
      </c>
      <c r="V121" t="s">
        <v>678</v>
      </c>
      <c r="W121">
        <v>-2.0348525851999999</v>
      </c>
      <c r="X121">
        <v>-79.915535634400001</v>
      </c>
      <c r="Y121">
        <v>0</v>
      </c>
      <c r="Z121">
        <f>+VLOOKUP(H121,Evalua!$G$2:$H$12,2,0)</f>
        <v>1</v>
      </c>
      <c r="AA121">
        <f>+VLOOKUP(I121,Evalua!$G$2:$H$12,2,0)</f>
        <v>2</v>
      </c>
    </row>
    <row r="122" spans="1:27" x14ac:dyDescent="0.2">
      <c r="A122" s="1" t="s">
        <v>679</v>
      </c>
      <c r="B122" t="s">
        <v>624</v>
      </c>
      <c r="C122" t="s">
        <v>98</v>
      </c>
      <c r="D122" t="s">
        <v>153</v>
      </c>
      <c r="E122" t="s">
        <v>26</v>
      </c>
      <c r="F122" t="s">
        <v>99</v>
      </c>
      <c r="G122" t="s">
        <v>46</v>
      </c>
      <c r="H122" t="s">
        <v>81</v>
      </c>
      <c r="I122" t="s">
        <v>29</v>
      </c>
      <c r="J122" t="str">
        <f>+VLOOKUP(A122,[1]Buscador!$B:$E,4,0)</f>
        <v>Guayaquil</v>
      </c>
      <c r="K122" t="str">
        <f>+VLOOKUP(A122,[1]Buscador!$B:$F,5,0)</f>
        <v>Guayas</v>
      </c>
      <c r="L122" t="s">
        <v>153</v>
      </c>
      <c r="O122" t="s">
        <v>82</v>
      </c>
      <c r="P122" t="s">
        <v>83</v>
      </c>
      <c r="Q122" t="s">
        <v>624</v>
      </c>
      <c r="R122" t="s">
        <v>153</v>
      </c>
      <c r="S122" t="s">
        <v>680</v>
      </c>
      <c r="T122" t="s">
        <v>681</v>
      </c>
      <c r="U122" t="s">
        <v>682</v>
      </c>
      <c r="V122" t="s">
        <v>683</v>
      </c>
      <c r="W122">
        <v>-2.1999270352</v>
      </c>
      <c r="X122">
        <v>-79.902608514899995</v>
      </c>
      <c r="Y122">
        <v>0</v>
      </c>
      <c r="Z122">
        <f>+VLOOKUP(H122,Evalua!$G$2:$H$12,2,0)</f>
        <v>3</v>
      </c>
      <c r="AA122">
        <f>+VLOOKUP(I122,Evalua!$G$2:$H$12,2,0)</f>
        <v>2</v>
      </c>
    </row>
    <row r="123" spans="1:27" x14ac:dyDescent="0.2">
      <c r="A123" s="1" t="s">
        <v>684</v>
      </c>
      <c r="B123" t="s">
        <v>629</v>
      </c>
      <c r="C123" t="s">
        <v>98</v>
      </c>
      <c r="D123" t="s">
        <v>153</v>
      </c>
      <c r="E123" t="s">
        <v>26</v>
      </c>
      <c r="F123" t="s">
        <v>99</v>
      </c>
      <c r="G123" t="s">
        <v>46</v>
      </c>
      <c r="H123" t="s">
        <v>28</v>
      </c>
      <c r="I123" t="s">
        <v>29</v>
      </c>
      <c r="J123" t="str">
        <f>+VLOOKUP(A123,[1]Buscador!$B:$E,4,0)</f>
        <v>Samborondón</v>
      </c>
      <c r="K123" t="str">
        <f>+VLOOKUP(A123,[1]Buscador!$B:$F,5,0)</f>
        <v>Guayas</v>
      </c>
      <c r="L123" t="s">
        <v>31</v>
      </c>
      <c r="O123" t="s">
        <v>32</v>
      </c>
      <c r="P123" t="s">
        <v>33</v>
      </c>
      <c r="Q123" t="s">
        <v>629</v>
      </c>
      <c r="R123" t="s">
        <v>153</v>
      </c>
      <c r="S123" t="s">
        <v>685</v>
      </c>
      <c r="T123" t="s">
        <v>686</v>
      </c>
      <c r="U123" t="s">
        <v>687</v>
      </c>
      <c r="V123" t="s">
        <v>688</v>
      </c>
      <c r="W123">
        <v>-2.1288782156999999</v>
      </c>
      <c r="X123">
        <v>-79.863641467799994</v>
      </c>
      <c r="Y123">
        <v>0</v>
      </c>
      <c r="Z123">
        <f>+VLOOKUP(H123,Evalua!$G$2:$H$12,2,0)</f>
        <v>1</v>
      </c>
      <c r="AA123">
        <f>+VLOOKUP(I123,Evalua!$G$2:$H$12,2,0)</f>
        <v>2</v>
      </c>
    </row>
    <row r="124" spans="1:27" x14ac:dyDescent="0.2">
      <c r="A124" s="1" t="s">
        <v>689</v>
      </c>
      <c r="B124" t="s">
        <v>634</v>
      </c>
      <c r="C124" t="s">
        <v>98</v>
      </c>
      <c r="D124" t="s">
        <v>153</v>
      </c>
      <c r="E124" t="s">
        <v>26</v>
      </c>
      <c r="F124" t="s">
        <v>99</v>
      </c>
      <c r="G124" t="s">
        <v>46</v>
      </c>
      <c r="H124" t="s">
        <v>28</v>
      </c>
      <c r="I124" t="s">
        <v>29</v>
      </c>
      <c r="J124" t="str">
        <f>+VLOOKUP(A124,[1]Buscador!$B:$E,4,0)</f>
        <v>Guayaquil</v>
      </c>
      <c r="K124" t="str">
        <f>+VLOOKUP(A124,[1]Buscador!$B:$F,5,0)</f>
        <v>Guayas</v>
      </c>
      <c r="L124" t="s">
        <v>153</v>
      </c>
      <c r="O124" t="s">
        <v>32</v>
      </c>
      <c r="P124" t="s">
        <v>33</v>
      </c>
      <c r="Q124" t="s">
        <v>634</v>
      </c>
      <c r="R124" t="s">
        <v>153</v>
      </c>
      <c r="S124" t="s">
        <v>690</v>
      </c>
      <c r="T124" t="s">
        <v>691</v>
      </c>
      <c r="U124" t="s">
        <v>692</v>
      </c>
      <c r="V124" t="s">
        <v>693</v>
      </c>
      <c r="W124">
        <v>-2.0684900000000002</v>
      </c>
      <c r="X124">
        <v>-79.895124999999993</v>
      </c>
      <c r="Y124">
        <v>0</v>
      </c>
      <c r="Z124">
        <f>+VLOOKUP(H124,Evalua!$G$2:$H$12,2,0)</f>
        <v>1</v>
      </c>
      <c r="AA124">
        <f>+VLOOKUP(I124,Evalua!$G$2:$H$12,2,0)</f>
        <v>2</v>
      </c>
    </row>
    <row r="125" spans="1:27" x14ac:dyDescent="0.2">
      <c r="A125" s="1" t="s">
        <v>694</v>
      </c>
      <c r="B125" t="s">
        <v>639</v>
      </c>
      <c r="C125" t="s">
        <v>98</v>
      </c>
      <c r="D125" t="s">
        <v>153</v>
      </c>
      <c r="E125" t="s">
        <v>26</v>
      </c>
      <c r="F125" t="s">
        <v>99</v>
      </c>
      <c r="G125" t="s">
        <v>46</v>
      </c>
      <c r="H125" t="s">
        <v>28</v>
      </c>
      <c r="I125" t="s">
        <v>29</v>
      </c>
      <c r="J125" t="str">
        <f>+VLOOKUP(A125,[1]Buscador!$B:$E,4,0)</f>
        <v>Guayaquil</v>
      </c>
      <c r="K125" t="str">
        <f>+VLOOKUP(A125,[1]Buscador!$B:$F,5,0)</f>
        <v>Guayas</v>
      </c>
      <c r="L125" t="s">
        <v>153</v>
      </c>
      <c r="O125" t="s">
        <v>32</v>
      </c>
      <c r="P125" t="s">
        <v>33</v>
      </c>
      <c r="Q125" t="s">
        <v>639</v>
      </c>
      <c r="R125" t="s">
        <v>153</v>
      </c>
      <c r="S125" t="s">
        <v>695</v>
      </c>
      <c r="T125" t="s">
        <v>696</v>
      </c>
      <c r="U125" t="s">
        <v>697</v>
      </c>
      <c r="V125" t="s">
        <v>698</v>
      </c>
      <c r="W125">
        <v>-2.0911584741000002</v>
      </c>
      <c r="X125">
        <v>-79.922668953400006</v>
      </c>
      <c r="Y125">
        <v>0</v>
      </c>
      <c r="Z125">
        <f>+VLOOKUP(H125,Evalua!$G$2:$H$12,2,0)</f>
        <v>1</v>
      </c>
      <c r="AA125">
        <f>+VLOOKUP(I125,Evalua!$G$2:$H$12,2,0)</f>
        <v>2</v>
      </c>
    </row>
    <row r="126" spans="1:27" x14ac:dyDescent="0.2">
      <c r="A126" s="1" t="s">
        <v>699</v>
      </c>
      <c r="B126" t="s">
        <v>644</v>
      </c>
      <c r="C126" t="s">
        <v>98</v>
      </c>
      <c r="D126" t="s">
        <v>153</v>
      </c>
      <c r="E126" t="s">
        <v>26</v>
      </c>
      <c r="F126" t="s">
        <v>99</v>
      </c>
      <c r="G126" t="s">
        <v>46</v>
      </c>
      <c r="H126" t="s">
        <v>28</v>
      </c>
      <c r="I126" t="s">
        <v>29</v>
      </c>
      <c r="J126" t="str">
        <f>+VLOOKUP(A126,[1]Buscador!$B:$E,4,0)</f>
        <v>Samborondón</v>
      </c>
      <c r="K126" t="str">
        <f>+VLOOKUP(A126,[1]Buscador!$B:$F,5,0)</f>
        <v>Guayas</v>
      </c>
      <c r="L126" t="s">
        <v>31</v>
      </c>
      <c r="O126" t="s">
        <v>32</v>
      </c>
      <c r="P126" t="s">
        <v>33</v>
      </c>
      <c r="Q126" t="s">
        <v>644</v>
      </c>
      <c r="R126" t="s">
        <v>153</v>
      </c>
      <c r="S126" t="s">
        <v>700</v>
      </c>
      <c r="T126" t="s">
        <v>701</v>
      </c>
      <c r="U126" t="s">
        <v>702</v>
      </c>
      <c r="V126" t="s">
        <v>323</v>
      </c>
      <c r="W126">
        <v>-2.1416837491999998</v>
      </c>
      <c r="X126">
        <v>-79.864768909000006</v>
      </c>
      <c r="Y126">
        <v>0</v>
      </c>
      <c r="Z126">
        <f>+VLOOKUP(H126,Evalua!$G$2:$H$12,2,0)</f>
        <v>1</v>
      </c>
      <c r="AA126">
        <f>+VLOOKUP(I126,Evalua!$G$2:$H$12,2,0)</f>
        <v>2</v>
      </c>
    </row>
    <row r="127" spans="1:27" x14ac:dyDescent="0.2">
      <c r="A127" s="1" t="s">
        <v>703</v>
      </c>
      <c r="B127" t="s">
        <v>649</v>
      </c>
      <c r="C127" t="s">
        <v>98</v>
      </c>
      <c r="D127" t="s">
        <v>153</v>
      </c>
      <c r="E127" t="s">
        <v>26</v>
      </c>
      <c r="F127" t="s">
        <v>99</v>
      </c>
      <c r="G127" t="s">
        <v>46</v>
      </c>
      <c r="H127" t="s">
        <v>28</v>
      </c>
      <c r="I127" t="s">
        <v>29</v>
      </c>
      <c r="J127" t="str">
        <f>+VLOOKUP(A127,[1]Buscador!$B:$E,4,0)</f>
        <v>Samborondón</v>
      </c>
      <c r="K127" t="str">
        <f>+VLOOKUP(A127,[1]Buscador!$B:$F,5,0)</f>
        <v>Guayas</v>
      </c>
      <c r="L127" t="s">
        <v>31</v>
      </c>
      <c r="O127" t="s">
        <v>32</v>
      </c>
      <c r="P127" t="s">
        <v>33</v>
      </c>
      <c r="Q127" t="s">
        <v>649</v>
      </c>
      <c r="R127" t="s">
        <v>153</v>
      </c>
      <c r="S127" t="s">
        <v>704</v>
      </c>
      <c r="T127" t="s">
        <v>705</v>
      </c>
      <c r="U127" t="s">
        <v>706</v>
      </c>
      <c r="V127" t="s">
        <v>707</v>
      </c>
      <c r="W127">
        <v>-2.0724623660999999</v>
      </c>
      <c r="X127">
        <v>-79.872272470599995</v>
      </c>
      <c r="Y127">
        <v>0</v>
      </c>
      <c r="Z127">
        <f>+VLOOKUP(H127,Evalua!$G$2:$H$12,2,0)</f>
        <v>1</v>
      </c>
      <c r="AA127">
        <f>+VLOOKUP(I127,Evalua!$G$2:$H$12,2,0)</f>
        <v>2</v>
      </c>
    </row>
    <row r="128" spans="1:27" x14ac:dyDescent="0.2">
      <c r="A128" s="1" t="s">
        <v>708</v>
      </c>
      <c r="B128" t="s">
        <v>654</v>
      </c>
      <c r="C128" t="s">
        <v>98</v>
      </c>
      <c r="D128" t="s">
        <v>153</v>
      </c>
      <c r="E128" t="s">
        <v>26</v>
      </c>
      <c r="F128" t="s">
        <v>99</v>
      </c>
      <c r="G128" t="s">
        <v>46</v>
      </c>
      <c r="H128" t="s">
        <v>28</v>
      </c>
      <c r="I128" t="s">
        <v>29</v>
      </c>
      <c r="J128" t="str">
        <f>+VLOOKUP(A128,[1]Buscador!$B:$E,4,0)</f>
        <v>Salinas</v>
      </c>
      <c r="K128" t="str">
        <f>+VLOOKUP(A128,[1]Buscador!$B:$F,5,0)</f>
        <v>Santa Elena</v>
      </c>
      <c r="L128" t="s">
        <v>153</v>
      </c>
      <c r="O128" t="s">
        <v>32</v>
      </c>
      <c r="P128" t="s">
        <v>33</v>
      </c>
      <c r="Q128" t="s">
        <v>654</v>
      </c>
      <c r="R128" t="s">
        <v>1922</v>
      </c>
      <c r="S128" t="s">
        <v>709</v>
      </c>
      <c r="T128" t="s">
        <v>710</v>
      </c>
      <c r="U128" t="s">
        <v>711</v>
      </c>
      <c r="V128" t="s">
        <v>712</v>
      </c>
      <c r="W128">
        <v>-2.2052601381999999</v>
      </c>
      <c r="X128">
        <v>-80.958534004399993</v>
      </c>
      <c r="Y128">
        <v>0</v>
      </c>
      <c r="Z128">
        <f>+VLOOKUP(H128,Evalua!$G$2:$H$12,2,0)</f>
        <v>1</v>
      </c>
      <c r="AA128">
        <f>+VLOOKUP(I128,Evalua!$G$2:$H$12,2,0)</f>
        <v>2</v>
      </c>
    </row>
    <row r="129" spans="1:27" x14ac:dyDescent="0.2">
      <c r="A129" s="1" t="s">
        <v>713</v>
      </c>
      <c r="B129" t="s">
        <v>659</v>
      </c>
      <c r="C129" t="s">
        <v>98</v>
      </c>
      <c r="D129" t="s">
        <v>153</v>
      </c>
      <c r="E129" t="s">
        <v>26</v>
      </c>
      <c r="F129" t="s">
        <v>99</v>
      </c>
      <c r="G129" t="s">
        <v>46</v>
      </c>
      <c r="H129" t="s">
        <v>81</v>
      </c>
      <c r="I129" t="s">
        <v>234</v>
      </c>
      <c r="J129" t="str">
        <f>+VLOOKUP(A129,[1]Buscador!$B:$E,4,0)</f>
        <v>Guayaquil</v>
      </c>
      <c r="K129" t="str">
        <f>+VLOOKUP(A129,[1]Buscador!$B:$F,5,0)</f>
        <v>Guayas</v>
      </c>
      <c r="L129" t="s">
        <v>31</v>
      </c>
      <c r="O129" t="s">
        <v>235</v>
      </c>
      <c r="P129" t="s">
        <v>33</v>
      </c>
      <c r="Q129" t="s">
        <v>659</v>
      </c>
      <c r="R129" t="s">
        <v>153</v>
      </c>
      <c r="S129" t="s">
        <v>714</v>
      </c>
      <c r="T129" t="s">
        <v>715</v>
      </c>
      <c r="U129" t="s">
        <v>716</v>
      </c>
      <c r="V129" t="s">
        <v>717</v>
      </c>
      <c r="W129">
        <v>-2.1070687870999998</v>
      </c>
      <c r="X129">
        <v>-79.940824312900006</v>
      </c>
      <c r="Y129">
        <v>0</v>
      </c>
      <c r="Z129">
        <f>+VLOOKUP(H129,Evalua!$G$2:$H$12,2,0)</f>
        <v>3</v>
      </c>
      <c r="AA129">
        <f>+VLOOKUP(I129,Evalua!$G$2:$H$12,2,0)</f>
        <v>1</v>
      </c>
    </row>
    <row r="130" spans="1:27" x14ac:dyDescent="0.2">
      <c r="A130" s="1" t="s">
        <v>718</v>
      </c>
      <c r="B130" t="s">
        <v>664</v>
      </c>
      <c r="C130" t="s">
        <v>98</v>
      </c>
      <c r="D130" t="s">
        <v>1970</v>
      </c>
      <c r="E130" t="s">
        <v>26</v>
      </c>
      <c r="F130" t="s">
        <v>99</v>
      </c>
      <c r="G130" t="s">
        <v>183</v>
      </c>
      <c r="H130" t="s">
        <v>123</v>
      </c>
      <c r="I130" t="s">
        <v>29</v>
      </c>
      <c r="J130" t="str">
        <f>+VLOOKUP(A130,[1]Buscador!$B:$E,4,0)</f>
        <v>Babahoyo</v>
      </c>
      <c r="K130" t="str">
        <f>+VLOOKUP(A130,[1]Buscador!$B:$F,5,0)</f>
        <v>Los Ríos</v>
      </c>
      <c r="L130" t="s">
        <v>31</v>
      </c>
      <c r="O130" t="s">
        <v>125</v>
      </c>
      <c r="P130" t="s">
        <v>126</v>
      </c>
      <c r="Q130" t="s">
        <v>664</v>
      </c>
      <c r="R130" t="s">
        <v>153</v>
      </c>
      <c r="S130" t="s">
        <v>719</v>
      </c>
      <c r="T130" t="s">
        <v>720</v>
      </c>
      <c r="U130" t="s">
        <v>721</v>
      </c>
      <c r="V130" t="s">
        <v>722</v>
      </c>
      <c r="W130">
        <v>-1.8131077554999999</v>
      </c>
      <c r="X130">
        <v>-79.545317172500006</v>
      </c>
      <c r="Y130">
        <v>0</v>
      </c>
      <c r="Z130">
        <f>+VLOOKUP(H130,Evalua!$G$2:$H$12,2,0)</f>
        <v>4</v>
      </c>
      <c r="AA130">
        <f>+VLOOKUP(I130,Evalua!$G$2:$H$12,2,0)</f>
        <v>2</v>
      </c>
    </row>
    <row r="131" spans="1:27" x14ac:dyDescent="0.2">
      <c r="A131" s="1" t="s">
        <v>723</v>
      </c>
      <c r="B131" t="s">
        <v>669</v>
      </c>
      <c r="C131" t="s">
        <v>98</v>
      </c>
      <c r="D131" t="s">
        <v>153</v>
      </c>
      <c r="E131" t="s">
        <v>26</v>
      </c>
      <c r="F131" t="s">
        <v>99</v>
      </c>
      <c r="G131" t="s">
        <v>46</v>
      </c>
      <c r="H131" t="s">
        <v>28</v>
      </c>
      <c r="I131" t="s">
        <v>29</v>
      </c>
      <c r="J131" t="str">
        <f>+VLOOKUP(A131,[1]Buscador!$B:$E,4,0)</f>
        <v>Daule</v>
      </c>
      <c r="K131" t="str">
        <f>+VLOOKUP(A131,[1]Buscador!$B:$F,5,0)</f>
        <v>Guayas</v>
      </c>
      <c r="L131" t="s">
        <v>31</v>
      </c>
      <c r="O131" t="s">
        <v>32</v>
      </c>
      <c r="P131" t="s">
        <v>33</v>
      </c>
      <c r="Q131" t="s">
        <v>669</v>
      </c>
      <c r="R131" t="s">
        <v>153</v>
      </c>
      <c r="S131" t="s">
        <v>724</v>
      </c>
      <c r="T131" t="s">
        <v>725</v>
      </c>
      <c r="U131" t="s">
        <v>726</v>
      </c>
      <c r="V131" t="s">
        <v>727</v>
      </c>
      <c r="W131">
        <v>-1.8546236143999999</v>
      </c>
      <c r="X131">
        <v>-79.975836109300005</v>
      </c>
      <c r="Y131">
        <v>0</v>
      </c>
      <c r="Z131">
        <f>+VLOOKUP(H131,Evalua!$G$2:$H$12,2,0)</f>
        <v>1</v>
      </c>
      <c r="AA131">
        <f>+VLOOKUP(I131,Evalua!$G$2:$H$12,2,0)</f>
        <v>2</v>
      </c>
    </row>
    <row r="132" spans="1:27" x14ac:dyDescent="0.2">
      <c r="A132" s="1" t="s">
        <v>728</v>
      </c>
      <c r="B132" t="s">
        <v>675</v>
      </c>
      <c r="C132" t="s">
        <v>98</v>
      </c>
      <c r="D132" t="s">
        <v>153</v>
      </c>
      <c r="E132" t="s">
        <v>26</v>
      </c>
      <c r="F132" t="s">
        <v>99</v>
      </c>
      <c r="G132" t="s">
        <v>194</v>
      </c>
      <c r="H132" t="s">
        <v>28</v>
      </c>
      <c r="I132" t="s">
        <v>234</v>
      </c>
      <c r="J132" t="str">
        <f>+VLOOKUP(A132,[1]Buscador!$B:$E,4,0)</f>
        <v>Santo Domingo de los Tsachilas</v>
      </c>
      <c r="K132" t="str">
        <f>+VLOOKUP(A132,[1]Buscador!$B:$F,5,0)</f>
        <v>Santo Domingo de los Tsáchilas</v>
      </c>
      <c r="L132" t="s">
        <v>31</v>
      </c>
      <c r="O132" t="s">
        <v>729</v>
      </c>
      <c r="P132" t="s">
        <v>730</v>
      </c>
      <c r="Q132" t="s">
        <v>675</v>
      </c>
      <c r="R132" t="s">
        <v>153</v>
      </c>
      <c r="S132" t="s">
        <v>731</v>
      </c>
      <c r="T132" t="s">
        <v>732</v>
      </c>
      <c r="U132" t="s">
        <v>733</v>
      </c>
      <c r="V132" t="s">
        <v>734</v>
      </c>
      <c r="W132">
        <v>-0.2489012065</v>
      </c>
      <c r="X132">
        <v>-79.162049904200003</v>
      </c>
      <c r="Y132">
        <v>0</v>
      </c>
      <c r="Z132">
        <f>+VLOOKUP(H132,Evalua!$G$2:$H$12,2,0)</f>
        <v>1</v>
      </c>
      <c r="AA132">
        <f>+VLOOKUP(I132,Evalua!$G$2:$H$12,2,0)</f>
        <v>1</v>
      </c>
    </row>
    <row r="133" spans="1:27" x14ac:dyDescent="0.2">
      <c r="A133" s="1" t="s">
        <v>735</v>
      </c>
      <c r="B133" t="s">
        <v>680</v>
      </c>
      <c r="C133" t="s">
        <v>98</v>
      </c>
      <c r="D133" t="s">
        <v>153</v>
      </c>
      <c r="E133" t="s">
        <v>26</v>
      </c>
      <c r="F133" t="s">
        <v>99</v>
      </c>
      <c r="G133" t="s">
        <v>27</v>
      </c>
      <c r="H133" t="s">
        <v>28</v>
      </c>
      <c r="I133" t="s">
        <v>29</v>
      </c>
      <c r="J133" t="str">
        <f>+VLOOKUP(A133,[1]Buscador!$B:$E,4,0)</f>
        <v>Ambato</v>
      </c>
      <c r="K133" t="str">
        <f>+VLOOKUP(A133,[1]Buscador!$B:$F,5,0)</f>
        <v>Tungurahua</v>
      </c>
      <c r="L133" t="s">
        <v>31</v>
      </c>
      <c r="O133" t="s">
        <v>32</v>
      </c>
      <c r="P133" t="s">
        <v>33</v>
      </c>
      <c r="Q133" t="s">
        <v>680</v>
      </c>
      <c r="R133" t="s">
        <v>153</v>
      </c>
      <c r="S133" t="s">
        <v>736</v>
      </c>
      <c r="T133" t="s">
        <v>737</v>
      </c>
      <c r="U133" t="s">
        <v>738</v>
      </c>
      <c r="V133" t="s">
        <v>739</v>
      </c>
      <c r="W133">
        <v>-1.2716069271999999</v>
      </c>
      <c r="X133">
        <v>-78.611886546700006</v>
      </c>
      <c r="Y133">
        <v>0</v>
      </c>
      <c r="Z133">
        <f>+VLOOKUP(H133,Evalua!$G$2:$H$12,2,0)</f>
        <v>1</v>
      </c>
      <c r="AA133">
        <f>+VLOOKUP(I133,Evalua!$G$2:$H$12,2,0)</f>
        <v>2</v>
      </c>
    </row>
    <row r="134" spans="1:27" x14ac:dyDescent="0.2">
      <c r="A134" s="1" t="s">
        <v>740</v>
      </c>
      <c r="B134" t="s">
        <v>685</v>
      </c>
      <c r="C134" t="s">
        <v>98</v>
      </c>
      <c r="D134" t="s">
        <v>153</v>
      </c>
      <c r="E134" t="s">
        <v>26</v>
      </c>
      <c r="F134" t="s">
        <v>99</v>
      </c>
      <c r="G134" t="s">
        <v>46</v>
      </c>
      <c r="H134" t="s">
        <v>28</v>
      </c>
      <c r="I134" t="s">
        <v>29</v>
      </c>
      <c r="J134" t="str">
        <f>+VLOOKUP(A134,[1]Buscador!$B:$E,4,0)</f>
        <v>Guayaquil</v>
      </c>
      <c r="K134" t="str">
        <f>+VLOOKUP(A134,[1]Buscador!$B:$F,5,0)</f>
        <v>Guayas</v>
      </c>
      <c r="L134" t="s">
        <v>153</v>
      </c>
      <c r="O134" t="s">
        <v>32</v>
      </c>
      <c r="P134" t="s">
        <v>33</v>
      </c>
      <c r="Q134" t="s">
        <v>685</v>
      </c>
      <c r="R134" t="s">
        <v>153</v>
      </c>
      <c r="S134" t="s">
        <v>741</v>
      </c>
      <c r="T134" t="s">
        <v>742</v>
      </c>
      <c r="U134" t="s">
        <v>743</v>
      </c>
      <c r="V134" t="s">
        <v>744</v>
      </c>
      <c r="W134">
        <v>-2.17319</v>
      </c>
      <c r="X134">
        <v>-79.898610000000005</v>
      </c>
      <c r="Y134">
        <v>0</v>
      </c>
      <c r="Z134">
        <f>+VLOOKUP(H134,Evalua!$G$2:$H$12,2,0)</f>
        <v>1</v>
      </c>
      <c r="AA134">
        <f>+VLOOKUP(I134,Evalua!$G$2:$H$12,2,0)</f>
        <v>2</v>
      </c>
    </row>
    <row r="135" spans="1:27" x14ac:dyDescent="0.2">
      <c r="A135" s="1" t="s">
        <v>745</v>
      </c>
      <c r="B135" t="s">
        <v>690</v>
      </c>
      <c r="C135" t="s">
        <v>98</v>
      </c>
      <c r="D135" t="s">
        <v>153</v>
      </c>
      <c r="E135" t="s">
        <v>26</v>
      </c>
      <c r="F135" t="s">
        <v>99</v>
      </c>
      <c r="G135" t="s">
        <v>46</v>
      </c>
      <c r="H135" t="s">
        <v>81</v>
      </c>
      <c r="I135" t="s">
        <v>234</v>
      </c>
      <c r="J135" t="str">
        <f>+VLOOKUP(A135,[1]Buscador!$B:$E,4,0)</f>
        <v>Guayaquil</v>
      </c>
      <c r="K135" t="str">
        <f>+VLOOKUP(A135,[1]Buscador!$B:$F,5,0)</f>
        <v>Guayas</v>
      </c>
      <c r="L135" t="s">
        <v>153</v>
      </c>
      <c r="O135" t="s">
        <v>235</v>
      </c>
      <c r="P135" t="s">
        <v>33</v>
      </c>
      <c r="Q135" t="s">
        <v>690</v>
      </c>
      <c r="R135" t="s">
        <v>153</v>
      </c>
      <c r="S135" t="s">
        <v>746</v>
      </c>
      <c r="T135" t="s">
        <v>747</v>
      </c>
      <c r="U135" t="s">
        <v>748</v>
      </c>
      <c r="V135" t="s">
        <v>749</v>
      </c>
      <c r="W135">
        <v>-2.1202790936999998</v>
      </c>
      <c r="X135">
        <v>-79.933586347000002</v>
      </c>
      <c r="Y135">
        <v>0</v>
      </c>
      <c r="Z135">
        <f>+VLOOKUP(H135,Evalua!$G$2:$H$12,2,0)</f>
        <v>3</v>
      </c>
      <c r="AA135">
        <f>+VLOOKUP(I135,Evalua!$G$2:$H$12,2,0)</f>
        <v>1</v>
      </c>
    </row>
    <row r="136" spans="1:27" x14ac:dyDescent="0.2">
      <c r="A136" s="1" t="s">
        <v>750</v>
      </c>
      <c r="B136" t="s">
        <v>695</v>
      </c>
      <c r="C136" t="s">
        <v>98</v>
      </c>
      <c r="D136" t="s">
        <v>153</v>
      </c>
      <c r="E136" t="s">
        <v>26</v>
      </c>
      <c r="F136" t="s">
        <v>99</v>
      </c>
      <c r="G136" t="s">
        <v>46</v>
      </c>
      <c r="H136" t="s">
        <v>28</v>
      </c>
      <c r="I136" t="s">
        <v>29</v>
      </c>
      <c r="J136" t="str">
        <f>+VLOOKUP(A136,[1]Buscador!$B:$E,4,0)</f>
        <v>Guayaquil</v>
      </c>
      <c r="K136" t="str">
        <f>+VLOOKUP(A136,[1]Buscador!$B:$F,5,0)</f>
        <v>Guayas</v>
      </c>
      <c r="L136" t="s">
        <v>153</v>
      </c>
      <c r="O136" t="s">
        <v>32</v>
      </c>
      <c r="P136" t="s">
        <v>33</v>
      </c>
      <c r="Q136" t="s">
        <v>695</v>
      </c>
      <c r="R136" t="s">
        <v>153</v>
      </c>
      <c r="S136" t="s">
        <v>751</v>
      </c>
      <c r="T136" t="s">
        <v>752</v>
      </c>
      <c r="U136" t="s">
        <v>753</v>
      </c>
      <c r="V136" t="s">
        <v>754</v>
      </c>
      <c r="W136">
        <v>-2.1258792327</v>
      </c>
      <c r="X136">
        <v>-79.933447138899993</v>
      </c>
      <c r="Y136">
        <v>0</v>
      </c>
      <c r="Z136">
        <f>+VLOOKUP(H136,Evalua!$G$2:$H$12,2,0)</f>
        <v>1</v>
      </c>
      <c r="AA136">
        <f>+VLOOKUP(I136,Evalua!$G$2:$H$12,2,0)</f>
        <v>2</v>
      </c>
    </row>
    <row r="137" spans="1:27" x14ac:dyDescent="0.2">
      <c r="A137" s="1" t="s">
        <v>755</v>
      </c>
      <c r="B137" t="s">
        <v>700</v>
      </c>
      <c r="C137" t="s">
        <v>98</v>
      </c>
      <c r="D137" t="s">
        <v>153</v>
      </c>
      <c r="E137" t="s">
        <v>26</v>
      </c>
      <c r="F137" t="s">
        <v>99</v>
      </c>
      <c r="G137" t="s">
        <v>46</v>
      </c>
      <c r="H137" t="s">
        <v>28</v>
      </c>
      <c r="I137" t="s">
        <v>29</v>
      </c>
      <c r="J137" t="str">
        <f>+VLOOKUP(A137,[1]Buscador!$B:$E,4,0)</f>
        <v>La Aurora</v>
      </c>
      <c r="K137" t="str">
        <f>+VLOOKUP(A137,[1]Buscador!$B:$F,5,0)</f>
        <v>Guayas</v>
      </c>
      <c r="L137" t="s">
        <v>153</v>
      </c>
      <c r="O137" t="s">
        <v>32</v>
      </c>
      <c r="P137" t="s">
        <v>33</v>
      </c>
      <c r="Q137" t="s">
        <v>700</v>
      </c>
      <c r="R137" t="s">
        <v>153</v>
      </c>
      <c r="S137" t="s">
        <v>756</v>
      </c>
      <c r="T137" t="s">
        <v>757</v>
      </c>
      <c r="U137" t="s">
        <v>758</v>
      </c>
      <c r="V137" t="s">
        <v>759</v>
      </c>
      <c r="W137">
        <v>-2.0339784447000002</v>
      </c>
      <c r="X137">
        <v>-79.887350462000001</v>
      </c>
      <c r="Y137">
        <v>0</v>
      </c>
      <c r="Z137">
        <f>+VLOOKUP(H137,Evalua!$G$2:$H$12,2,0)</f>
        <v>1</v>
      </c>
      <c r="AA137">
        <f>+VLOOKUP(I137,Evalua!$G$2:$H$12,2,0)</f>
        <v>2</v>
      </c>
    </row>
    <row r="138" spans="1:27" x14ac:dyDescent="0.2">
      <c r="A138" s="1" t="s">
        <v>760</v>
      </c>
      <c r="B138" t="s">
        <v>704</v>
      </c>
      <c r="C138" t="s">
        <v>98</v>
      </c>
      <c r="D138" t="s">
        <v>153</v>
      </c>
      <c r="E138" t="s">
        <v>26</v>
      </c>
      <c r="F138" t="s">
        <v>99</v>
      </c>
      <c r="G138" t="s">
        <v>46</v>
      </c>
      <c r="H138" t="s">
        <v>28</v>
      </c>
      <c r="I138" t="s">
        <v>29</v>
      </c>
      <c r="J138" t="str">
        <f>+VLOOKUP(A138,[1]Buscador!$B:$E,4,0)</f>
        <v>Guayaquil</v>
      </c>
      <c r="K138" t="str">
        <f>+VLOOKUP(A138,[1]Buscador!$B:$F,5,0)</f>
        <v>Guayas</v>
      </c>
      <c r="L138" t="s">
        <v>153</v>
      </c>
      <c r="O138" t="s">
        <v>32</v>
      </c>
      <c r="P138" t="s">
        <v>33</v>
      </c>
      <c r="Q138" t="s">
        <v>704</v>
      </c>
      <c r="R138" t="s">
        <v>153</v>
      </c>
      <c r="S138" t="s">
        <v>761</v>
      </c>
      <c r="T138" t="s">
        <v>762</v>
      </c>
      <c r="U138" t="s">
        <v>763</v>
      </c>
      <c r="V138" t="s">
        <v>764</v>
      </c>
      <c r="W138">
        <v>-2.1837770000000001</v>
      </c>
      <c r="X138">
        <v>-79.983940000000004</v>
      </c>
      <c r="Y138">
        <v>0</v>
      </c>
      <c r="Z138">
        <f>+VLOOKUP(H138,Evalua!$G$2:$H$12,2,0)</f>
        <v>1</v>
      </c>
      <c r="AA138">
        <f>+VLOOKUP(I138,Evalua!$G$2:$H$12,2,0)</f>
        <v>2</v>
      </c>
    </row>
    <row r="139" spans="1:27" x14ac:dyDescent="0.2">
      <c r="A139" s="1" t="s">
        <v>765</v>
      </c>
      <c r="B139" t="s">
        <v>709</v>
      </c>
      <c r="C139" t="s">
        <v>766</v>
      </c>
      <c r="D139" t="s">
        <v>153</v>
      </c>
      <c r="E139" t="s">
        <v>26</v>
      </c>
      <c r="F139" t="s">
        <v>99</v>
      </c>
      <c r="G139" t="s">
        <v>46</v>
      </c>
      <c r="H139" t="s">
        <v>28</v>
      </c>
      <c r="I139" t="s">
        <v>29</v>
      </c>
      <c r="J139" t="str">
        <f>+VLOOKUP(A139,[1]Buscador!$B:$E,4,0)</f>
        <v>Samborondón</v>
      </c>
      <c r="K139" t="str">
        <f>+VLOOKUP(A139,[1]Buscador!$B:$F,5,0)</f>
        <v>Guayas</v>
      </c>
      <c r="L139" t="s">
        <v>31</v>
      </c>
      <c r="O139" t="s">
        <v>32</v>
      </c>
      <c r="P139" t="s">
        <v>33</v>
      </c>
      <c r="Q139" t="s">
        <v>709</v>
      </c>
      <c r="R139" t="s">
        <v>153</v>
      </c>
      <c r="S139" t="s">
        <v>767</v>
      </c>
      <c r="T139" t="s">
        <v>768</v>
      </c>
      <c r="U139" t="s">
        <v>769</v>
      </c>
      <c r="V139" t="s">
        <v>770</v>
      </c>
      <c r="W139">
        <v>-2.0990640515000001</v>
      </c>
      <c r="X139">
        <v>-79.875114552300005</v>
      </c>
      <c r="Y139">
        <v>0</v>
      </c>
      <c r="Z139">
        <f>+VLOOKUP(H139,Evalua!$G$2:$H$12,2,0)</f>
        <v>1</v>
      </c>
      <c r="AA139">
        <f>+VLOOKUP(I139,Evalua!$G$2:$H$12,2,0)</f>
        <v>2</v>
      </c>
    </row>
    <row r="140" spans="1:27" x14ac:dyDescent="0.2">
      <c r="A140" s="1" t="s">
        <v>771</v>
      </c>
      <c r="B140" t="s">
        <v>714</v>
      </c>
      <c r="C140" t="s">
        <v>98</v>
      </c>
      <c r="D140" t="s">
        <v>153</v>
      </c>
      <c r="E140" t="s">
        <v>26</v>
      </c>
      <c r="F140" t="s">
        <v>99</v>
      </c>
      <c r="G140" t="s">
        <v>46</v>
      </c>
      <c r="H140" t="s">
        <v>28</v>
      </c>
      <c r="I140" t="s">
        <v>29</v>
      </c>
      <c r="J140" t="str">
        <f>+VLOOKUP(A140,[1]Buscador!$B:$E,4,0)</f>
        <v>Olón</v>
      </c>
      <c r="K140" t="str">
        <f>+VLOOKUP(A140,[1]Buscador!$B:$F,5,0)</f>
        <v>Santa Elena</v>
      </c>
      <c r="L140" t="s">
        <v>153</v>
      </c>
      <c r="O140" t="s">
        <v>32</v>
      </c>
      <c r="P140" t="s">
        <v>33</v>
      </c>
      <c r="Q140" t="s">
        <v>714</v>
      </c>
      <c r="R140" t="s">
        <v>1922</v>
      </c>
      <c r="S140" t="s">
        <v>772</v>
      </c>
      <c r="T140" t="s">
        <v>773</v>
      </c>
      <c r="U140" t="s">
        <v>774</v>
      </c>
      <c r="V140" t="s">
        <v>775</v>
      </c>
      <c r="W140">
        <v>-1.7976933614999999</v>
      </c>
      <c r="X140">
        <v>-80.756537034800004</v>
      </c>
      <c r="Y140">
        <v>0</v>
      </c>
      <c r="Z140">
        <f>+VLOOKUP(H140,Evalua!$G$2:$H$12,2,0)</f>
        <v>1</v>
      </c>
      <c r="AA140">
        <f>+VLOOKUP(I140,Evalua!$G$2:$H$12,2,0)</f>
        <v>2</v>
      </c>
    </row>
    <row r="141" spans="1:27" x14ac:dyDescent="0.2">
      <c r="A141" s="1" t="s">
        <v>776</v>
      </c>
      <c r="B141" t="s">
        <v>719</v>
      </c>
      <c r="C141" t="s">
        <v>98</v>
      </c>
      <c r="D141" t="s">
        <v>153</v>
      </c>
      <c r="E141" t="s">
        <v>26</v>
      </c>
      <c r="F141" t="s">
        <v>99</v>
      </c>
      <c r="G141" t="s">
        <v>46</v>
      </c>
      <c r="H141" t="s">
        <v>28</v>
      </c>
      <c r="I141" t="s">
        <v>29</v>
      </c>
      <c r="J141" t="str">
        <f>+VLOOKUP(A141,[1]Buscador!$B:$E,4,0)</f>
        <v>Guayaquil</v>
      </c>
      <c r="K141" t="str">
        <f>+VLOOKUP(A141,[1]Buscador!$B:$F,5,0)</f>
        <v>Guayas</v>
      </c>
      <c r="L141" t="s">
        <v>153</v>
      </c>
      <c r="O141" t="s">
        <v>32</v>
      </c>
      <c r="P141" t="s">
        <v>33</v>
      </c>
      <c r="Q141" t="s">
        <v>719</v>
      </c>
      <c r="R141" t="s">
        <v>153</v>
      </c>
      <c r="S141" t="s">
        <v>777</v>
      </c>
      <c r="T141" t="s">
        <v>778</v>
      </c>
      <c r="U141" t="s">
        <v>779</v>
      </c>
      <c r="V141" t="s">
        <v>780</v>
      </c>
      <c r="W141">
        <v>-2.1194514112</v>
      </c>
      <c r="X141">
        <v>-79.932722559499993</v>
      </c>
      <c r="Y141">
        <v>0</v>
      </c>
      <c r="Z141">
        <f>+VLOOKUP(H141,Evalua!$G$2:$H$12,2,0)</f>
        <v>1</v>
      </c>
      <c r="AA141">
        <f>+VLOOKUP(I141,Evalua!$G$2:$H$12,2,0)</f>
        <v>2</v>
      </c>
    </row>
    <row r="142" spans="1:27" x14ac:dyDescent="0.2">
      <c r="A142" s="1" t="s">
        <v>781</v>
      </c>
      <c r="B142" t="s">
        <v>724</v>
      </c>
      <c r="C142" t="s">
        <v>98</v>
      </c>
      <c r="D142" t="s">
        <v>153</v>
      </c>
      <c r="E142" t="s">
        <v>26</v>
      </c>
      <c r="F142" t="s">
        <v>99</v>
      </c>
      <c r="G142" t="s">
        <v>46</v>
      </c>
      <c r="H142" t="s">
        <v>28</v>
      </c>
      <c r="I142" t="s">
        <v>29</v>
      </c>
      <c r="J142" t="str">
        <f>+VLOOKUP(A142,[1]Buscador!$B:$E,4,0)</f>
        <v>Guayaquil</v>
      </c>
      <c r="K142" t="str">
        <f>+VLOOKUP(A142,[1]Buscador!$B:$F,5,0)</f>
        <v>Guayas</v>
      </c>
      <c r="L142" t="s">
        <v>31</v>
      </c>
      <c r="O142" t="s">
        <v>32</v>
      </c>
      <c r="P142" t="s">
        <v>33</v>
      </c>
      <c r="Q142" t="s">
        <v>724</v>
      </c>
      <c r="R142" t="s">
        <v>153</v>
      </c>
      <c r="S142" t="s">
        <v>782</v>
      </c>
      <c r="T142" t="s">
        <v>783</v>
      </c>
      <c r="U142" t="s">
        <v>784</v>
      </c>
      <c r="V142" t="s">
        <v>785</v>
      </c>
      <c r="W142">
        <v>-2.1863030000000001</v>
      </c>
      <c r="X142">
        <v>-79.896037000000007</v>
      </c>
      <c r="Y142">
        <v>0</v>
      </c>
      <c r="Z142">
        <f>+VLOOKUP(H142,Evalua!$G$2:$H$12,2,0)</f>
        <v>1</v>
      </c>
      <c r="AA142">
        <f>+VLOOKUP(I142,Evalua!$G$2:$H$12,2,0)</f>
        <v>2</v>
      </c>
    </row>
    <row r="143" spans="1:27" x14ac:dyDescent="0.2">
      <c r="A143" s="1" t="s">
        <v>786</v>
      </c>
      <c r="B143" t="s">
        <v>731</v>
      </c>
      <c r="C143" t="s">
        <v>98</v>
      </c>
      <c r="D143" t="s">
        <v>153</v>
      </c>
      <c r="E143" t="s">
        <v>26</v>
      </c>
      <c r="F143" t="s">
        <v>99</v>
      </c>
      <c r="G143" t="s">
        <v>46</v>
      </c>
      <c r="H143" t="s">
        <v>28</v>
      </c>
      <c r="I143" t="s">
        <v>29</v>
      </c>
      <c r="J143" t="str">
        <f>+VLOOKUP(A143,[1]Buscador!$B:$E,4,0)</f>
        <v>Guayaquil</v>
      </c>
      <c r="K143" t="str">
        <f>+VLOOKUP(A143,[1]Buscador!$B:$F,5,0)</f>
        <v>Guayas</v>
      </c>
      <c r="L143" t="s">
        <v>31</v>
      </c>
      <c r="O143" t="s">
        <v>32</v>
      </c>
      <c r="P143" t="s">
        <v>33</v>
      </c>
      <c r="Q143" t="s">
        <v>731</v>
      </c>
      <c r="R143" t="s">
        <v>153</v>
      </c>
      <c r="S143" t="s">
        <v>787</v>
      </c>
      <c r="T143" t="s">
        <v>788</v>
      </c>
      <c r="U143" t="s">
        <v>789</v>
      </c>
      <c r="V143" t="s">
        <v>790</v>
      </c>
      <c r="W143">
        <v>-2.0988609999999999</v>
      </c>
      <c r="X143">
        <v>-79.935445000000001</v>
      </c>
      <c r="Y143">
        <v>0</v>
      </c>
      <c r="Z143">
        <f>+VLOOKUP(H143,Evalua!$G$2:$H$12,2,0)</f>
        <v>1</v>
      </c>
      <c r="AA143">
        <f>+VLOOKUP(I143,Evalua!$G$2:$H$12,2,0)</f>
        <v>2</v>
      </c>
    </row>
    <row r="144" spans="1:27" x14ac:dyDescent="0.2">
      <c r="A144" s="1" t="s">
        <v>791</v>
      </c>
      <c r="B144" t="s">
        <v>736</v>
      </c>
      <c r="C144" t="s">
        <v>98</v>
      </c>
      <c r="D144" t="s">
        <v>153</v>
      </c>
      <c r="E144" t="s">
        <v>26</v>
      </c>
      <c r="F144" t="s">
        <v>99</v>
      </c>
      <c r="G144" t="s">
        <v>46</v>
      </c>
      <c r="H144" t="s">
        <v>28</v>
      </c>
      <c r="I144" t="s">
        <v>29</v>
      </c>
      <c r="J144" t="str">
        <f>+VLOOKUP(A144,[1]Buscador!$B:$E,4,0)</f>
        <v>La Aurora</v>
      </c>
      <c r="K144" t="str">
        <f>+VLOOKUP(A144,[1]Buscador!$B:$F,5,0)</f>
        <v>Guayas</v>
      </c>
      <c r="L144" t="s">
        <v>31</v>
      </c>
      <c r="O144" t="s">
        <v>32</v>
      </c>
      <c r="P144" t="s">
        <v>33</v>
      </c>
      <c r="Q144" t="s">
        <v>736</v>
      </c>
      <c r="R144" t="s">
        <v>153</v>
      </c>
      <c r="S144" t="s">
        <v>792</v>
      </c>
      <c r="T144" t="s">
        <v>793</v>
      </c>
      <c r="U144" t="s">
        <v>794</v>
      </c>
      <c r="V144" t="s">
        <v>795</v>
      </c>
      <c r="W144">
        <v>-2.0280668337000001</v>
      </c>
      <c r="X144">
        <v>-79.912529347200007</v>
      </c>
      <c r="Y144">
        <v>0</v>
      </c>
      <c r="Z144">
        <f>+VLOOKUP(H144,Evalua!$G$2:$H$12,2,0)</f>
        <v>1</v>
      </c>
      <c r="AA144">
        <f>+VLOOKUP(I144,Evalua!$G$2:$H$12,2,0)</f>
        <v>2</v>
      </c>
    </row>
    <row r="145" spans="1:27" x14ac:dyDescent="0.2">
      <c r="A145" s="1" t="s">
        <v>796</v>
      </c>
      <c r="B145" t="s">
        <v>741</v>
      </c>
      <c r="C145" t="s">
        <v>98</v>
      </c>
      <c r="D145" t="s">
        <v>153</v>
      </c>
      <c r="E145" t="s">
        <v>26</v>
      </c>
      <c r="F145" t="s">
        <v>99</v>
      </c>
      <c r="G145" t="s">
        <v>159</v>
      </c>
      <c r="H145" t="s">
        <v>28</v>
      </c>
      <c r="I145" t="s">
        <v>160</v>
      </c>
      <c r="J145" t="str">
        <f>+VLOOKUP(A145,[1]Buscador!$B:$E,4,0)</f>
        <v>Cuenca</v>
      </c>
      <c r="K145" t="str">
        <f>+VLOOKUP(A145,[1]Buscador!$B:$F,5,0)</f>
        <v>Azuay</v>
      </c>
      <c r="L145" t="s">
        <v>153</v>
      </c>
      <c r="O145" t="s">
        <v>162</v>
      </c>
      <c r="P145" t="s">
        <v>83</v>
      </c>
      <c r="Q145" t="s">
        <v>741</v>
      </c>
      <c r="R145" t="s">
        <v>153</v>
      </c>
      <c r="S145" t="s">
        <v>797</v>
      </c>
      <c r="T145" t="s">
        <v>798</v>
      </c>
      <c r="U145" t="s">
        <v>799</v>
      </c>
      <c r="V145" t="s">
        <v>800</v>
      </c>
      <c r="W145">
        <v>-2.9149265577999999</v>
      </c>
      <c r="X145">
        <v>-79.022764461999998</v>
      </c>
      <c r="Y145">
        <v>0</v>
      </c>
      <c r="Z145">
        <f>+VLOOKUP(H145,Evalua!$G$2:$H$12,2,0)</f>
        <v>1</v>
      </c>
      <c r="AA145">
        <f>+VLOOKUP(I145,Evalua!$G$2:$H$12,2,0)</f>
        <v>3</v>
      </c>
    </row>
    <row r="146" spans="1:27" x14ac:dyDescent="0.2">
      <c r="A146" s="1" t="s">
        <v>801</v>
      </c>
      <c r="B146" t="s">
        <v>746</v>
      </c>
      <c r="C146" t="s">
        <v>98</v>
      </c>
      <c r="D146" t="s">
        <v>153</v>
      </c>
      <c r="E146" t="s">
        <v>26</v>
      </c>
      <c r="F146" t="s">
        <v>99</v>
      </c>
      <c r="G146" t="s">
        <v>46</v>
      </c>
      <c r="H146" t="s">
        <v>28</v>
      </c>
      <c r="I146" t="s">
        <v>29</v>
      </c>
      <c r="J146" t="str">
        <f>+VLOOKUP(A146,[1]Buscador!$B:$E,4,0)</f>
        <v>Guayaquil</v>
      </c>
      <c r="K146" t="str">
        <f>+VLOOKUP(A146,[1]Buscador!$B:$F,5,0)</f>
        <v>Guayas</v>
      </c>
      <c r="L146" t="s">
        <v>153</v>
      </c>
      <c r="O146" t="s">
        <v>32</v>
      </c>
      <c r="P146" t="s">
        <v>33</v>
      </c>
      <c r="Q146" t="s">
        <v>746</v>
      </c>
      <c r="R146" t="s">
        <v>153</v>
      </c>
      <c r="S146" t="s">
        <v>802</v>
      </c>
      <c r="T146" t="s">
        <v>803</v>
      </c>
      <c r="U146" t="s">
        <v>804</v>
      </c>
      <c r="V146" t="s">
        <v>805</v>
      </c>
      <c r="W146">
        <v>-2.2016875712999999</v>
      </c>
      <c r="X146">
        <v>-79.916651315099998</v>
      </c>
      <c r="Y146">
        <v>0</v>
      </c>
      <c r="Z146">
        <f>+VLOOKUP(H146,Evalua!$G$2:$H$12,2,0)</f>
        <v>1</v>
      </c>
      <c r="AA146">
        <f>+VLOOKUP(I146,Evalua!$G$2:$H$12,2,0)</f>
        <v>2</v>
      </c>
    </row>
    <row r="147" spans="1:27" x14ac:dyDescent="0.2">
      <c r="A147" s="1" t="s">
        <v>806</v>
      </c>
      <c r="B147" t="s">
        <v>751</v>
      </c>
      <c r="C147" t="s">
        <v>98</v>
      </c>
      <c r="D147" t="s">
        <v>153</v>
      </c>
      <c r="E147" t="s">
        <v>26</v>
      </c>
      <c r="F147" t="s">
        <v>99</v>
      </c>
      <c r="G147" t="s">
        <v>46</v>
      </c>
      <c r="H147" t="s">
        <v>28</v>
      </c>
      <c r="I147" t="s">
        <v>29</v>
      </c>
      <c r="J147" t="str">
        <f>+VLOOKUP(A147,[1]Buscador!$B:$E,4,0)</f>
        <v>Guayaquil</v>
      </c>
      <c r="K147" t="str">
        <f>+VLOOKUP(A147,[1]Buscador!$B:$F,5,0)</f>
        <v>Guayas</v>
      </c>
      <c r="L147" t="s">
        <v>31</v>
      </c>
      <c r="O147" t="s">
        <v>32</v>
      </c>
      <c r="P147" t="s">
        <v>33</v>
      </c>
      <c r="Q147" t="s">
        <v>751</v>
      </c>
      <c r="R147" t="s">
        <v>153</v>
      </c>
      <c r="S147" t="s">
        <v>807</v>
      </c>
      <c r="T147" t="s">
        <v>808</v>
      </c>
      <c r="U147" t="s">
        <v>809</v>
      </c>
      <c r="V147" t="s">
        <v>810</v>
      </c>
      <c r="W147">
        <v>-2.1924640000000002</v>
      </c>
      <c r="X147">
        <v>-79.879536000000002</v>
      </c>
      <c r="Y147">
        <v>0</v>
      </c>
      <c r="Z147">
        <f>+VLOOKUP(H147,Evalua!$G$2:$H$12,2,0)</f>
        <v>1</v>
      </c>
      <c r="AA147">
        <f>+VLOOKUP(I147,Evalua!$G$2:$H$12,2,0)</f>
        <v>2</v>
      </c>
    </row>
    <row r="148" spans="1:27" x14ac:dyDescent="0.2">
      <c r="A148" s="1" t="s">
        <v>811</v>
      </c>
      <c r="B148" t="s">
        <v>756</v>
      </c>
      <c r="C148" t="s">
        <v>98</v>
      </c>
      <c r="D148" t="s">
        <v>153</v>
      </c>
      <c r="E148" t="s">
        <v>26</v>
      </c>
      <c r="F148" t="s">
        <v>99</v>
      </c>
      <c r="G148" t="s">
        <v>46</v>
      </c>
      <c r="H148" t="s">
        <v>28</v>
      </c>
      <c r="I148" t="s">
        <v>29</v>
      </c>
      <c r="J148" t="str">
        <f>+VLOOKUP(A148,[1]Buscador!$B:$E,4,0)</f>
        <v>Guayaquil</v>
      </c>
      <c r="K148" t="str">
        <f>+VLOOKUP(A148,[1]Buscador!$B:$F,5,0)</f>
        <v>Guayas</v>
      </c>
      <c r="L148" t="s">
        <v>31</v>
      </c>
      <c r="O148" t="s">
        <v>32</v>
      </c>
      <c r="P148" t="s">
        <v>33</v>
      </c>
      <c r="Q148" t="s">
        <v>756</v>
      </c>
      <c r="R148" t="s">
        <v>153</v>
      </c>
      <c r="S148" t="s">
        <v>812</v>
      </c>
      <c r="T148" t="s">
        <v>813</v>
      </c>
      <c r="U148" t="s">
        <v>814</v>
      </c>
      <c r="V148" t="s">
        <v>815</v>
      </c>
      <c r="W148">
        <v>-2.22946</v>
      </c>
      <c r="X148">
        <v>-79.897379000000001</v>
      </c>
      <c r="Y148">
        <v>0</v>
      </c>
      <c r="Z148">
        <f>+VLOOKUP(H148,Evalua!$G$2:$H$12,2,0)</f>
        <v>1</v>
      </c>
      <c r="AA148">
        <f>+VLOOKUP(I148,Evalua!$G$2:$H$12,2,0)</f>
        <v>2</v>
      </c>
    </row>
    <row r="149" spans="1:27" x14ac:dyDescent="0.2">
      <c r="A149" s="1" t="s">
        <v>816</v>
      </c>
      <c r="B149" t="s">
        <v>761</v>
      </c>
      <c r="C149" t="s">
        <v>98</v>
      </c>
      <c r="D149" t="s">
        <v>153</v>
      </c>
      <c r="E149" t="s">
        <v>26</v>
      </c>
      <c r="F149" t="s">
        <v>99</v>
      </c>
      <c r="G149" t="s">
        <v>27</v>
      </c>
      <c r="H149" t="s">
        <v>28</v>
      </c>
      <c r="I149" t="s">
        <v>29</v>
      </c>
      <c r="J149" t="str">
        <f>+VLOOKUP(A149,[1]Buscador!$B:$E,4,0)</f>
        <v>Ambato</v>
      </c>
      <c r="K149" t="str">
        <f>+VLOOKUP(A149,[1]Buscador!$B:$F,5,0)</f>
        <v>Tungurahua</v>
      </c>
      <c r="L149" t="s">
        <v>31</v>
      </c>
      <c r="O149" t="s">
        <v>32</v>
      </c>
      <c r="P149" t="s">
        <v>33</v>
      </c>
      <c r="Q149" t="s">
        <v>761</v>
      </c>
      <c r="R149" t="s">
        <v>153</v>
      </c>
      <c r="S149" t="s">
        <v>817</v>
      </c>
      <c r="T149" t="s">
        <v>818</v>
      </c>
      <c r="U149" t="s">
        <v>819</v>
      </c>
      <c r="V149" t="s">
        <v>820</v>
      </c>
      <c r="W149">
        <v>-1.2567470211</v>
      </c>
      <c r="X149">
        <v>-78.641881817799998</v>
      </c>
      <c r="Y149">
        <v>0</v>
      </c>
      <c r="Z149">
        <f>+VLOOKUP(H149,Evalua!$G$2:$H$12,2,0)</f>
        <v>1</v>
      </c>
      <c r="AA149">
        <f>+VLOOKUP(I149,Evalua!$G$2:$H$12,2,0)</f>
        <v>2</v>
      </c>
    </row>
    <row r="150" spans="1:27" x14ac:dyDescent="0.2">
      <c r="A150" s="1" t="s">
        <v>821</v>
      </c>
      <c r="B150" t="s">
        <v>767</v>
      </c>
      <c r="C150" t="s">
        <v>98</v>
      </c>
      <c r="D150" t="s">
        <v>153</v>
      </c>
      <c r="E150" t="s">
        <v>26</v>
      </c>
      <c r="F150" t="s">
        <v>99</v>
      </c>
      <c r="G150" t="s">
        <v>27</v>
      </c>
      <c r="H150" t="s">
        <v>28</v>
      </c>
      <c r="I150" t="s">
        <v>29</v>
      </c>
      <c r="J150" t="str">
        <f>+VLOOKUP(A150,[1]Buscador!$B:$E,4,0)</f>
        <v>Guayaquil</v>
      </c>
      <c r="K150" t="str">
        <f>+VLOOKUP(A150,[1]Buscador!$B:$F,5,0)</f>
        <v>Guayas</v>
      </c>
      <c r="L150" t="s">
        <v>153</v>
      </c>
      <c r="O150" t="s">
        <v>32</v>
      </c>
      <c r="P150" t="s">
        <v>33</v>
      </c>
      <c r="Q150" t="s">
        <v>767</v>
      </c>
      <c r="R150" t="s">
        <v>153</v>
      </c>
      <c r="S150" t="s">
        <v>822</v>
      </c>
      <c r="T150" t="s">
        <v>823</v>
      </c>
      <c r="U150" t="s">
        <v>824</v>
      </c>
      <c r="V150" t="s">
        <v>825</v>
      </c>
      <c r="W150">
        <v>-2.1430297047</v>
      </c>
      <c r="X150">
        <v>-79.884464623300005</v>
      </c>
      <c r="Y150">
        <v>0</v>
      </c>
      <c r="Z150">
        <f>+VLOOKUP(H150,Evalua!$G$2:$H$12,2,0)</f>
        <v>1</v>
      </c>
      <c r="AA150">
        <f>+VLOOKUP(I150,Evalua!$G$2:$H$12,2,0)</f>
        <v>2</v>
      </c>
    </row>
    <row r="151" spans="1:27" x14ac:dyDescent="0.2">
      <c r="A151" s="1" t="s">
        <v>826</v>
      </c>
      <c r="B151" t="s">
        <v>772</v>
      </c>
      <c r="C151" t="s">
        <v>98</v>
      </c>
      <c r="D151" t="s">
        <v>153</v>
      </c>
      <c r="E151" t="s">
        <v>26</v>
      </c>
      <c r="F151" t="s">
        <v>99</v>
      </c>
      <c r="G151" t="s">
        <v>46</v>
      </c>
      <c r="H151" t="s">
        <v>28</v>
      </c>
      <c r="I151" t="s">
        <v>29</v>
      </c>
      <c r="J151" t="str">
        <f>+VLOOKUP(A151,[1]Buscador!$B:$E,4,0)</f>
        <v>Guayaquil</v>
      </c>
      <c r="K151" t="str">
        <f>+VLOOKUP(A151,[1]Buscador!$B:$F,5,0)</f>
        <v>Guayas</v>
      </c>
      <c r="L151" t="s">
        <v>31</v>
      </c>
      <c r="O151" t="s">
        <v>32</v>
      </c>
      <c r="P151" t="s">
        <v>33</v>
      </c>
      <c r="Q151" t="s">
        <v>772</v>
      </c>
      <c r="R151" t="s">
        <v>153</v>
      </c>
      <c r="S151" t="s">
        <v>827</v>
      </c>
      <c r="T151" t="s">
        <v>828</v>
      </c>
      <c r="U151" t="s">
        <v>829</v>
      </c>
      <c r="V151" t="s">
        <v>830</v>
      </c>
      <c r="W151">
        <v>-2.1714600000000002</v>
      </c>
      <c r="X151">
        <v>-79.890153999999995</v>
      </c>
      <c r="Y151">
        <v>0</v>
      </c>
      <c r="Z151">
        <f>+VLOOKUP(H151,Evalua!$G$2:$H$12,2,0)</f>
        <v>1</v>
      </c>
      <c r="AA151">
        <f>+VLOOKUP(I151,Evalua!$G$2:$H$12,2,0)</f>
        <v>2</v>
      </c>
    </row>
    <row r="152" spans="1:27" x14ac:dyDescent="0.2">
      <c r="A152" s="1" t="s">
        <v>831</v>
      </c>
      <c r="B152" t="s">
        <v>777</v>
      </c>
      <c r="C152" t="s">
        <v>98</v>
      </c>
      <c r="D152" t="s">
        <v>153</v>
      </c>
      <c r="E152" t="s">
        <v>26</v>
      </c>
      <c r="F152" t="s">
        <v>99</v>
      </c>
      <c r="G152" t="s">
        <v>46</v>
      </c>
      <c r="H152" t="s">
        <v>28</v>
      </c>
      <c r="I152" t="s">
        <v>29</v>
      </c>
      <c r="J152" t="str">
        <f>+VLOOKUP(A152,[1]Buscador!$B:$E,4,0)</f>
        <v>Samborondón</v>
      </c>
      <c r="K152" t="str">
        <f>+VLOOKUP(A152,[1]Buscador!$B:$F,5,0)</f>
        <v>Guayas</v>
      </c>
      <c r="L152" t="s">
        <v>31</v>
      </c>
      <c r="O152" t="s">
        <v>32</v>
      </c>
      <c r="P152" t="s">
        <v>33</v>
      </c>
      <c r="Q152" t="s">
        <v>777</v>
      </c>
      <c r="R152" t="s">
        <v>153</v>
      </c>
      <c r="S152" t="s">
        <v>832</v>
      </c>
      <c r="T152" t="s">
        <v>833</v>
      </c>
      <c r="U152" t="s">
        <v>834</v>
      </c>
      <c r="V152" t="s">
        <v>835</v>
      </c>
      <c r="W152">
        <v>-2.0748000813999998</v>
      </c>
      <c r="X152">
        <v>-79.873377209500006</v>
      </c>
      <c r="Y152">
        <v>0</v>
      </c>
      <c r="Z152">
        <f>+VLOOKUP(H152,Evalua!$G$2:$H$12,2,0)</f>
        <v>1</v>
      </c>
      <c r="AA152">
        <f>+VLOOKUP(I152,Evalua!$G$2:$H$12,2,0)</f>
        <v>2</v>
      </c>
    </row>
    <row r="153" spans="1:27" x14ac:dyDescent="0.2">
      <c r="A153" s="1" t="s">
        <v>836</v>
      </c>
      <c r="B153" t="s">
        <v>782</v>
      </c>
      <c r="C153" t="s">
        <v>98</v>
      </c>
      <c r="D153" t="s">
        <v>153</v>
      </c>
      <c r="E153" t="s">
        <v>26</v>
      </c>
      <c r="F153" t="s">
        <v>99</v>
      </c>
      <c r="G153" t="s">
        <v>27</v>
      </c>
      <c r="H153" t="s">
        <v>81</v>
      </c>
      <c r="I153" t="s">
        <v>29</v>
      </c>
      <c r="J153" t="str">
        <f>+VLOOKUP(A153,[1]Buscador!$B:$E,4,0)</f>
        <v>Quito</v>
      </c>
      <c r="K153" t="str">
        <f>+VLOOKUP(A153,[1]Buscador!$B:$F,5,0)</f>
        <v>Pichincha</v>
      </c>
      <c r="L153" t="s">
        <v>31</v>
      </c>
      <c r="O153" t="s">
        <v>82</v>
      </c>
      <c r="P153" t="s">
        <v>83</v>
      </c>
      <c r="Q153" t="s">
        <v>782</v>
      </c>
      <c r="R153" t="s">
        <v>153</v>
      </c>
      <c r="S153" t="s">
        <v>837</v>
      </c>
      <c r="T153" t="s">
        <v>838</v>
      </c>
      <c r="U153" t="s">
        <v>839</v>
      </c>
      <c r="V153" t="s">
        <v>840</v>
      </c>
      <c r="W153">
        <v>-0.19645649879999999</v>
      </c>
      <c r="X153">
        <v>-78.499465020800002</v>
      </c>
      <c r="Y153">
        <v>0</v>
      </c>
      <c r="Z153">
        <f>+VLOOKUP(H153,Evalua!$G$2:$H$12,2,0)</f>
        <v>3</v>
      </c>
      <c r="AA153">
        <f>+VLOOKUP(I153,Evalua!$G$2:$H$12,2,0)</f>
        <v>2</v>
      </c>
    </row>
    <row r="154" spans="1:27" x14ac:dyDescent="0.2">
      <c r="A154" s="1" t="s">
        <v>841</v>
      </c>
      <c r="B154" t="s">
        <v>787</v>
      </c>
      <c r="C154" t="s">
        <v>98</v>
      </c>
      <c r="D154" t="s">
        <v>153</v>
      </c>
      <c r="E154" t="s">
        <v>26</v>
      </c>
      <c r="F154" t="s">
        <v>99</v>
      </c>
      <c r="G154" t="s">
        <v>27</v>
      </c>
      <c r="H154" t="s">
        <v>28</v>
      </c>
      <c r="I154" t="s">
        <v>29</v>
      </c>
      <c r="J154" t="str">
        <f>+VLOOKUP(A154,[1]Buscador!$B:$E,4,0)</f>
        <v>Cumbaya</v>
      </c>
      <c r="K154" t="str">
        <f>+VLOOKUP(A154,[1]Buscador!$B:$F,5,0)</f>
        <v>Pichincha</v>
      </c>
      <c r="L154" t="s">
        <v>31</v>
      </c>
      <c r="O154" t="s">
        <v>32</v>
      </c>
      <c r="P154" t="s">
        <v>33</v>
      </c>
      <c r="Q154" t="s">
        <v>787</v>
      </c>
      <c r="R154" t="s">
        <v>153</v>
      </c>
      <c r="S154" t="s">
        <v>842</v>
      </c>
      <c r="T154" t="s">
        <v>843</v>
      </c>
      <c r="U154" t="s">
        <v>844</v>
      </c>
      <c r="V154" t="s">
        <v>845</v>
      </c>
      <c r="W154">
        <v>-0.198046</v>
      </c>
      <c r="X154">
        <v>-78.439150999999995</v>
      </c>
      <c r="Y154">
        <v>0</v>
      </c>
      <c r="Z154">
        <f>+VLOOKUP(H154,Evalua!$G$2:$H$12,2,0)</f>
        <v>1</v>
      </c>
      <c r="AA154">
        <f>+VLOOKUP(I154,Evalua!$G$2:$H$12,2,0)</f>
        <v>2</v>
      </c>
    </row>
    <row r="155" spans="1:27" x14ac:dyDescent="0.2">
      <c r="A155" s="1" t="s">
        <v>846</v>
      </c>
      <c r="B155" t="s">
        <v>792</v>
      </c>
      <c r="C155" t="s">
        <v>98</v>
      </c>
      <c r="D155" t="s">
        <v>153</v>
      </c>
      <c r="E155" t="s">
        <v>26</v>
      </c>
      <c r="F155" t="s">
        <v>99</v>
      </c>
      <c r="G155" t="s">
        <v>46</v>
      </c>
      <c r="H155" t="s">
        <v>28</v>
      </c>
      <c r="I155" t="s">
        <v>29</v>
      </c>
      <c r="J155" t="str">
        <f>+VLOOKUP(A155,[1]Buscador!$B:$E,4,0)</f>
        <v>Durán</v>
      </c>
      <c r="K155" t="str">
        <f>+VLOOKUP(A155,[1]Buscador!$B:$F,5,0)</f>
        <v>Guayas</v>
      </c>
      <c r="L155" t="s">
        <v>31</v>
      </c>
      <c r="O155" t="s">
        <v>32</v>
      </c>
      <c r="P155" t="s">
        <v>33</v>
      </c>
      <c r="Q155" t="s">
        <v>792</v>
      </c>
      <c r="R155" t="s">
        <v>153</v>
      </c>
      <c r="S155" t="s">
        <v>847</v>
      </c>
      <c r="T155" t="s">
        <v>848</v>
      </c>
      <c r="U155" t="s">
        <v>849</v>
      </c>
      <c r="V155" t="s">
        <v>850</v>
      </c>
      <c r="W155">
        <v>-2.1687090961000002</v>
      </c>
      <c r="X155">
        <v>-79.839177669999998</v>
      </c>
      <c r="Y155">
        <v>0</v>
      </c>
      <c r="Z155">
        <f>+VLOOKUP(H155,Evalua!$G$2:$H$12,2,0)</f>
        <v>1</v>
      </c>
      <c r="AA155">
        <f>+VLOOKUP(I155,Evalua!$G$2:$H$12,2,0)</f>
        <v>2</v>
      </c>
    </row>
    <row r="156" spans="1:27" x14ac:dyDescent="0.2">
      <c r="A156" s="1" t="s">
        <v>851</v>
      </c>
      <c r="B156" t="s">
        <v>797</v>
      </c>
      <c r="C156" t="s">
        <v>98</v>
      </c>
      <c r="D156" t="s">
        <v>153</v>
      </c>
      <c r="E156" t="s">
        <v>26</v>
      </c>
      <c r="F156" t="s">
        <v>99</v>
      </c>
      <c r="G156" t="s">
        <v>27</v>
      </c>
      <c r="H156" t="s">
        <v>28</v>
      </c>
      <c r="I156" t="s">
        <v>29</v>
      </c>
      <c r="J156" t="str">
        <f>+VLOOKUP(A156,[1]Buscador!$B:$E,4,0)</f>
        <v>El Condado</v>
      </c>
      <c r="K156" t="str">
        <f>+VLOOKUP(A156,[1]Buscador!$B:$F,5,0)</f>
        <v>Pichincha</v>
      </c>
      <c r="L156" t="s">
        <v>31</v>
      </c>
      <c r="O156" t="s">
        <v>32</v>
      </c>
      <c r="P156" t="s">
        <v>33</v>
      </c>
      <c r="Q156" t="s">
        <v>797</v>
      </c>
      <c r="R156" t="s">
        <v>153</v>
      </c>
      <c r="S156" t="s">
        <v>852</v>
      </c>
      <c r="T156" t="s">
        <v>853</v>
      </c>
      <c r="U156" t="s">
        <v>854</v>
      </c>
      <c r="V156" t="s">
        <v>855</v>
      </c>
      <c r="W156">
        <v>-0.105223</v>
      </c>
      <c r="X156">
        <v>-78.500344999999996</v>
      </c>
      <c r="Y156">
        <v>0</v>
      </c>
      <c r="Z156">
        <f>+VLOOKUP(H156,Evalua!$G$2:$H$12,2,0)</f>
        <v>1</v>
      </c>
      <c r="AA156">
        <f>+VLOOKUP(I156,Evalua!$G$2:$H$12,2,0)</f>
        <v>2</v>
      </c>
    </row>
    <row r="157" spans="1:27" x14ac:dyDescent="0.2">
      <c r="A157" s="1" t="s">
        <v>856</v>
      </c>
      <c r="B157" t="s">
        <v>802</v>
      </c>
      <c r="C157" t="s">
        <v>98</v>
      </c>
      <c r="D157" t="s">
        <v>153</v>
      </c>
      <c r="E157" t="s">
        <v>26</v>
      </c>
      <c r="F157" t="s">
        <v>99</v>
      </c>
      <c r="G157" t="s">
        <v>46</v>
      </c>
      <c r="H157" t="s">
        <v>28</v>
      </c>
      <c r="I157" t="s">
        <v>29</v>
      </c>
      <c r="J157" t="str">
        <f>+VLOOKUP(A157,[1]Buscador!$B:$E,4,0)</f>
        <v>Samborondón</v>
      </c>
      <c r="K157" t="str">
        <f>+VLOOKUP(A157,[1]Buscador!$B:$F,5,0)</f>
        <v>Guayas</v>
      </c>
      <c r="L157" t="s">
        <v>31</v>
      </c>
      <c r="O157" t="s">
        <v>32</v>
      </c>
      <c r="P157" t="s">
        <v>33</v>
      </c>
      <c r="Q157" t="s">
        <v>802</v>
      </c>
      <c r="R157" t="s">
        <v>153</v>
      </c>
      <c r="S157" t="s">
        <v>857</v>
      </c>
      <c r="T157" t="s">
        <v>858</v>
      </c>
      <c r="U157" t="s">
        <v>859</v>
      </c>
      <c r="V157" t="s">
        <v>860</v>
      </c>
      <c r="W157">
        <v>-2.1435173280000002</v>
      </c>
      <c r="X157">
        <v>-79.864226203699999</v>
      </c>
      <c r="Y157">
        <v>0</v>
      </c>
      <c r="Z157">
        <f>+VLOOKUP(H157,Evalua!$G$2:$H$12,2,0)</f>
        <v>1</v>
      </c>
      <c r="AA157">
        <f>+VLOOKUP(I157,Evalua!$G$2:$H$12,2,0)</f>
        <v>2</v>
      </c>
    </row>
    <row r="158" spans="1:27" x14ac:dyDescent="0.2">
      <c r="A158" s="1" t="s">
        <v>861</v>
      </c>
      <c r="B158" t="s">
        <v>807</v>
      </c>
      <c r="C158" t="s">
        <v>98</v>
      </c>
      <c r="D158" t="s">
        <v>153</v>
      </c>
      <c r="E158" t="s">
        <v>26</v>
      </c>
      <c r="F158" t="s">
        <v>99</v>
      </c>
      <c r="G158" t="s">
        <v>27</v>
      </c>
      <c r="H158" t="s">
        <v>28</v>
      </c>
      <c r="I158" t="s">
        <v>29</v>
      </c>
      <c r="J158" t="str">
        <f>+VLOOKUP(A158,[1]Buscador!$B:$E,4,0)</f>
        <v>El Condado</v>
      </c>
      <c r="K158" t="str">
        <f>+VLOOKUP(A158,[1]Buscador!$B:$F,5,0)</f>
        <v>Pichincha</v>
      </c>
      <c r="L158" t="s">
        <v>31</v>
      </c>
      <c r="O158" t="s">
        <v>32</v>
      </c>
      <c r="P158" t="s">
        <v>33</v>
      </c>
      <c r="Q158" t="s">
        <v>807</v>
      </c>
      <c r="R158" t="s">
        <v>153</v>
      </c>
      <c r="S158" t="s">
        <v>862</v>
      </c>
      <c r="T158" t="s">
        <v>863</v>
      </c>
      <c r="U158" t="s">
        <v>864</v>
      </c>
      <c r="V158" t="s">
        <v>865</v>
      </c>
      <c r="W158">
        <v>-9.5497525200000002E-2</v>
      </c>
      <c r="X158">
        <v>-78.488602004399993</v>
      </c>
      <c r="Y158">
        <v>0</v>
      </c>
      <c r="Z158">
        <f>+VLOOKUP(H158,Evalua!$G$2:$H$12,2,0)</f>
        <v>1</v>
      </c>
      <c r="AA158">
        <f>+VLOOKUP(I158,Evalua!$G$2:$H$12,2,0)</f>
        <v>2</v>
      </c>
    </row>
    <row r="159" spans="1:27" x14ac:dyDescent="0.2">
      <c r="A159" s="1" t="s">
        <v>866</v>
      </c>
      <c r="B159" t="s">
        <v>812</v>
      </c>
      <c r="C159" t="s">
        <v>98</v>
      </c>
      <c r="D159" t="s">
        <v>153</v>
      </c>
      <c r="E159" t="s">
        <v>26</v>
      </c>
      <c r="F159" t="s">
        <v>99</v>
      </c>
      <c r="G159" t="s">
        <v>46</v>
      </c>
      <c r="H159" t="s">
        <v>28</v>
      </c>
      <c r="I159" t="s">
        <v>29</v>
      </c>
      <c r="J159" t="str">
        <f>+VLOOKUP(A159,[1]Buscador!$B:$E,4,0)</f>
        <v>Guayaquil</v>
      </c>
      <c r="K159" t="str">
        <f>+VLOOKUP(A159,[1]Buscador!$B:$F,5,0)</f>
        <v>Guayas</v>
      </c>
      <c r="L159" t="s">
        <v>153</v>
      </c>
      <c r="O159" t="s">
        <v>32</v>
      </c>
      <c r="P159" t="s">
        <v>33</v>
      </c>
      <c r="Q159" t="s">
        <v>812</v>
      </c>
      <c r="R159" t="s">
        <v>153</v>
      </c>
      <c r="S159" t="s">
        <v>867</v>
      </c>
      <c r="T159" t="s">
        <v>868</v>
      </c>
      <c r="U159" t="s">
        <v>869</v>
      </c>
      <c r="V159" t="s">
        <v>870</v>
      </c>
      <c r="W159">
        <v>-2.1456054263</v>
      </c>
      <c r="X159">
        <v>-79.894860542299995</v>
      </c>
      <c r="Y159">
        <v>0</v>
      </c>
      <c r="Z159">
        <f>+VLOOKUP(H159,Evalua!$G$2:$H$12,2,0)</f>
        <v>1</v>
      </c>
      <c r="AA159">
        <f>+VLOOKUP(I159,Evalua!$G$2:$H$12,2,0)</f>
        <v>2</v>
      </c>
    </row>
    <row r="160" spans="1:27" x14ac:dyDescent="0.2">
      <c r="A160" s="1" t="s">
        <v>871</v>
      </c>
      <c r="B160" t="s">
        <v>817</v>
      </c>
      <c r="C160" t="s">
        <v>98</v>
      </c>
      <c r="D160" t="s">
        <v>153</v>
      </c>
      <c r="E160" t="s">
        <v>26</v>
      </c>
      <c r="F160" t="s">
        <v>99</v>
      </c>
      <c r="G160" t="s">
        <v>27</v>
      </c>
      <c r="H160" t="s">
        <v>28</v>
      </c>
      <c r="I160" t="s">
        <v>29</v>
      </c>
      <c r="J160" t="str">
        <f>+VLOOKUP(A160,[1]Buscador!$B:$E,4,0)</f>
        <v>Quito</v>
      </c>
      <c r="K160" t="str">
        <f>+VLOOKUP(A160,[1]Buscador!$B:$F,5,0)</f>
        <v>Pichincha</v>
      </c>
      <c r="L160" t="s">
        <v>31</v>
      </c>
      <c r="O160" t="s">
        <v>32</v>
      </c>
      <c r="P160" t="s">
        <v>33</v>
      </c>
      <c r="Q160" t="s">
        <v>817</v>
      </c>
      <c r="R160" t="s">
        <v>153</v>
      </c>
      <c r="S160" t="s">
        <v>872</v>
      </c>
      <c r="T160" t="s">
        <v>873</v>
      </c>
      <c r="U160" t="s">
        <v>874</v>
      </c>
      <c r="V160" t="s">
        <v>875</v>
      </c>
      <c r="W160">
        <v>-0.28617413959999999</v>
      </c>
      <c r="X160">
        <v>-78.537414868699997</v>
      </c>
      <c r="Y160">
        <v>0</v>
      </c>
      <c r="Z160">
        <f>+VLOOKUP(H160,Evalua!$G$2:$H$12,2,0)</f>
        <v>1</v>
      </c>
      <c r="AA160">
        <f>+VLOOKUP(I160,Evalua!$G$2:$H$12,2,0)</f>
        <v>2</v>
      </c>
    </row>
    <row r="161" spans="1:27" x14ac:dyDescent="0.2">
      <c r="A161" s="1" t="s">
        <v>876</v>
      </c>
      <c r="B161" t="s">
        <v>822</v>
      </c>
      <c r="C161" t="s">
        <v>98</v>
      </c>
      <c r="D161" t="s">
        <v>153</v>
      </c>
      <c r="E161" t="s">
        <v>26</v>
      </c>
      <c r="F161" t="s">
        <v>99</v>
      </c>
      <c r="G161" t="s">
        <v>46</v>
      </c>
      <c r="H161" t="s">
        <v>28</v>
      </c>
      <c r="I161" t="s">
        <v>29</v>
      </c>
      <c r="J161" t="str">
        <f>+VLOOKUP(A161,[1]Buscador!$B:$E,4,0)</f>
        <v>Guayaquil</v>
      </c>
      <c r="K161" t="str">
        <f>+VLOOKUP(A161,[1]Buscador!$B:$F,5,0)</f>
        <v>Guayas</v>
      </c>
      <c r="L161" t="s">
        <v>31</v>
      </c>
      <c r="O161" t="s">
        <v>32</v>
      </c>
      <c r="P161" t="s">
        <v>33</v>
      </c>
      <c r="Q161" t="s">
        <v>822</v>
      </c>
      <c r="R161" t="s">
        <v>153</v>
      </c>
      <c r="S161" t="s">
        <v>877</v>
      </c>
      <c r="T161" t="s">
        <v>878</v>
      </c>
      <c r="U161" t="s">
        <v>879</v>
      </c>
      <c r="V161" t="s">
        <v>880</v>
      </c>
      <c r="W161">
        <v>-2.1403560000000001</v>
      </c>
      <c r="X161">
        <v>-79.925518999999994</v>
      </c>
      <c r="Y161">
        <v>0</v>
      </c>
      <c r="Z161">
        <f>+VLOOKUP(H161,Evalua!$G$2:$H$12,2,0)</f>
        <v>1</v>
      </c>
      <c r="AA161">
        <f>+VLOOKUP(I161,Evalua!$G$2:$H$12,2,0)</f>
        <v>2</v>
      </c>
    </row>
    <row r="162" spans="1:27" x14ac:dyDescent="0.2">
      <c r="A162" s="1" t="s">
        <v>881</v>
      </c>
      <c r="B162" t="s">
        <v>827</v>
      </c>
      <c r="C162" t="s">
        <v>98</v>
      </c>
      <c r="D162" t="s">
        <v>153</v>
      </c>
      <c r="E162" t="s">
        <v>26</v>
      </c>
      <c r="F162" t="s">
        <v>99</v>
      </c>
      <c r="G162" t="s">
        <v>46</v>
      </c>
      <c r="H162" t="s">
        <v>28</v>
      </c>
      <c r="I162" t="s">
        <v>29</v>
      </c>
      <c r="J162" t="str">
        <f>+VLOOKUP(A162,[1]Buscador!$B:$E,4,0)</f>
        <v>Guayaquil</v>
      </c>
      <c r="K162" t="str">
        <f>+VLOOKUP(A162,[1]Buscador!$B:$F,5,0)</f>
        <v>Guayas</v>
      </c>
      <c r="L162" t="s">
        <v>31</v>
      </c>
      <c r="O162" t="s">
        <v>32</v>
      </c>
      <c r="P162" t="s">
        <v>33</v>
      </c>
      <c r="Q162" t="s">
        <v>827</v>
      </c>
      <c r="R162" t="s">
        <v>153</v>
      </c>
      <c r="S162" t="s">
        <v>882</v>
      </c>
      <c r="T162" t="s">
        <v>883</v>
      </c>
      <c r="U162" t="s">
        <v>884</v>
      </c>
      <c r="V162" t="s">
        <v>885</v>
      </c>
      <c r="W162">
        <v>-2.1677226815999999</v>
      </c>
      <c r="X162">
        <v>-79.895933854000006</v>
      </c>
      <c r="Y162">
        <v>0</v>
      </c>
      <c r="Z162">
        <f>+VLOOKUP(H162,Evalua!$G$2:$H$12,2,0)</f>
        <v>1</v>
      </c>
      <c r="AA162">
        <f>+VLOOKUP(I162,Evalua!$G$2:$H$12,2,0)</f>
        <v>2</v>
      </c>
    </row>
    <row r="163" spans="1:27" x14ac:dyDescent="0.2">
      <c r="A163" s="1" t="s">
        <v>886</v>
      </c>
      <c r="B163" t="s">
        <v>832</v>
      </c>
      <c r="C163" t="s">
        <v>98</v>
      </c>
      <c r="D163" t="s">
        <v>153</v>
      </c>
      <c r="E163" t="s">
        <v>26</v>
      </c>
      <c r="F163" t="s">
        <v>99</v>
      </c>
      <c r="G163" t="s">
        <v>46</v>
      </c>
      <c r="H163" t="s">
        <v>28</v>
      </c>
      <c r="I163" t="s">
        <v>29</v>
      </c>
      <c r="J163" t="str">
        <f>+VLOOKUP(A163,[1]Buscador!$B:$E,4,0)</f>
        <v>La Aurora</v>
      </c>
      <c r="K163" t="str">
        <f>+VLOOKUP(A163,[1]Buscador!$B:$F,5,0)</f>
        <v>Guayas</v>
      </c>
      <c r="L163" t="s">
        <v>31</v>
      </c>
      <c r="O163" t="s">
        <v>32</v>
      </c>
      <c r="P163" t="s">
        <v>33</v>
      </c>
      <c r="Q163" t="s">
        <v>832</v>
      </c>
      <c r="R163" t="s">
        <v>153</v>
      </c>
      <c r="S163" t="s">
        <v>887</v>
      </c>
      <c r="T163" t="s">
        <v>888</v>
      </c>
      <c r="U163" t="s">
        <v>889</v>
      </c>
      <c r="V163" t="s">
        <v>890</v>
      </c>
      <c r="W163">
        <v>-2.0513138632999999</v>
      </c>
      <c r="X163">
        <v>-79.901644372999996</v>
      </c>
      <c r="Y163">
        <v>0</v>
      </c>
      <c r="Z163">
        <f>+VLOOKUP(H163,Evalua!$G$2:$H$12,2,0)</f>
        <v>1</v>
      </c>
      <c r="AA163">
        <f>+VLOOKUP(I163,Evalua!$G$2:$H$12,2,0)</f>
        <v>2</v>
      </c>
    </row>
    <row r="164" spans="1:27" x14ac:dyDescent="0.2">
      <c r="A164" s="1" t="s">
        <v>891</v>
      </c>
      <c r="B164" t="s">
        <v>837</v>
      </c>
      <c r="C164" t="s">
        <v>98</v>
      </c>
      <c r="D164" t="s">
        <v>153</v>
      </c>
      <c r="E164" t="s">
        <v>26</v>
      </c>
      <c r="F164" t="s">
        <v>99</v>
      </c>
      <c r="G164" t="s">
        <v>46</v>
      </c>
      <c r="H164" t="s">
        <v>28</v>
      </c>
      <c r="I164" t="s">
        <v>29</v>
      </c>
      <c r="J164" t="str">
        <f>+VLOOKUP(A164,[1]Buscador!$B:$E,4,0)</f>
        <v>Playas</v>
      </c>
      <c r="K164" t="str">
        <f>+VLOOKUP(A164,[1]Buscador!$B:$F,5,0)</f>
        <v>Guayas</v>
      </c>
      <c r="L164" t="s">
        <v>31</v>
      </c>
      <c r="O164" t="s">
        <v>32</v>
      </c>
      <c r="P164" t="s">
        <v>33</v>
      </c>
      <c r="Q164" t="s">
        <v>837</v>
      </c>
      <c r="R164" t="s">
        <v>153</v>
      </c>
      <c r="S164" t="s">
        <v>893</v>
      </c>
      <c r="T164" t="s">
        <v>894</v>
      </c>
      <c r="U164" t="s">
        <v>895</v>
      </c>
      <c r="V164" t="s">
        <v>896</v>
      </c>
      <c r="W164">
        <v>-2.5918387008999999</v>
      </c>
      <c r="X164">
        <v>-80.397510204499994</v>
      </c>
      <c r="Y164">
        <v>0</v>
      </c>
      <c r="Z164">
        <f>+VLOOKUP(H164,Evalua!$G$2:$H$12,2,0)</f>
        <v>1</v>
      </c>
      <c r="AA164">
        <f>+VLOOKUP(I164,Evalua!$G$2:$H$12,2,0)</f>
        <v>2</v>
      </c>
    </row>
    <row r="165" spans="1:27" x14ac:dyDescent="0.2">
      <c r="A165" s="1" t="s">
        <v>897</v>
      </c>
      <c r="B165" t="s">
        <v>842</v>
      </c>
      <c r="C165" t="s">
        <v>98</v>
      </c>
      <c r="D165" t="s">
        <v>153</v>
      </c>
      <c r="E165" t="s">
        <v>26</v>
      </c>
      <c r="F165" t="s">
        <v>99</v>
      </c>
      <c r="G165" t="s">
        <v>46</v>
      </c>
      <c r="H165" t="s">
        <v>28</v>
      </c>
      <c r="I165" t="s">
        <v>29</v>
      </c>
      <c r="J165" t="str">
        <f>+VLOOKUP(A165,[1]Buscador!$B:$E,4,0)</f>
        <v>La Aurora</v>
      </c>
      <c r="K165" t="str">
        <f>+VLOOKUP(A165,[1]Buscador!$B:$F,5,0)</f>
        <v>Guayas</v>
      </c>
      <c r="L165" t="s">
        <v>31</v>
      </c>
      <c r="O165" t="s">
        <v>32</v>
      </c>
      <c r="P165" t="s">
        <v>33</v>
      </c>
      <c r="Q165" t="s">
        <v>842</v>
      </c>
      <c r="R165" t="s">
        <v>153</v>
      </c>
      <c r="S165" t="s">
        <v>898</v>
      </c>
      <c r="T165" t="s">
        <v>899</v>
      </c>
      <c r="U165" t="s">
        <v>900</v>
      </c>
      <c r="V165" t="s">
        <v>901</v>
      </c>
      <c r="W165">
        <v>-2.0311202737</v>
      </c>
      <c r="X165">
        <v>-79.9021323443</v>
      </c>
      <c r="Y165">
        <v>0</v>
      </c>
      <c r="Z165">
        <f>+VLOOKUP(H165,Evalua!$G$2:$H$12,2,0)</f>
        <v>1</v>
      </c>
      <c r="AA165">
        <f>+VLOOKUP(I165,Evalua!$G$2:$H$12,2,0)</f>
        <v>2</v>
      </c>
    </row>
    <row r="166" spans="1:27" x14ac:dyDescent="0.2">
      <c r="A166" s="1" t="s">
        <v>902</v>
      </c>
      <c r="B166" t="s">
        <v>847</v>
      </c>
      <c r="C166" t="s">
        <v>98</v>
      </c>
      <c r="D166" t="s">
        <v>153</v>
      </c>
      <c r="E166" t="s">
        <v>26</v>
      </c>
      <c r="F166" t="s">
        <v>99</v>
      </c>
      <c r="G166" t="s">
        <v>27</v>
      </c>
      <c r="H166" t="s">
        <v>28</v>
      </c>
      <c r="I166" t="s">
        <v>29</v>
      </c>
      <c r="J166" t="str">
        <f>+VLOOKUP(A166,[1]Buscador!$B:$E,4,0)</f>
        <v>Comuna Miraflores</v>
      </c>
      <c r="K166" t="str">
        <f>+VLOOKUP(A166,[1]Buscador!$B:$F,5,0)</f>
        <v>Pichincha</v>
      </c>
      <c r="L166" t="s">
        <v>31</v>
      </c>
      <c r="O166" t="s">
        <v>32</v>
      </c>
      <c r="P166" t="s">
        <v>33</v>
      </c>
      <c r="Q166" t="s">
        <v>847</v>
      </c>
      <c r="R166" t="s">
        <v>153</v>
      </c>
      <c r="S166" t="s">
        <v>903</v>
      </c>
      <c r="T166" t="s">
        <v>904</v>
      </c>
      <c r="U166" t="s">
        <v>905</v>
      </c>
      <c r="V166" t="s">
        <v>906</v>
      </c>
      <c r="W166">
        <v>-0.159998</v>
      </c>
      <c r="X166">
        <v>-78.466533999999996</v>
      </c>
      <c r="Y166">
        <v>0</v>
      </c>
      <c r="Z166">
        <f>+VLOOKUP(H166,Evalua!$G$2:$H$12,2,0)</f>
        <v>1</v>
      </c>
      <c r="AA166">
        <f>+VLOOKUP(I166,Evalua!$G$2:$H$12,2,0)</f>
        <v>2</v>
      </c>
    </row>
    <row r="167" spans="1:27" x14ac:dyDescent="0.2">
      <c r="A167" s="1" t="s">
        <v>907</v>
      </c>
      <c r="B167" t="s">
        <v>852</v>
      </c>
      <c r="C167" t="s">
        <v>98</v>
      </c>
      <c r="D167" t="s">
        <v>153</v>
      </c>
      <c r="E167" t="s">
        <v>26</v>
      </c>
      <c r="F167" t="s">
        <v>99</v>
      </c>
      <c r="G167" t="s">
        <v>46</v>
      </c>
      <c r="H167" t="s">
        <v>28</v>
      </c>
      <c r="I167" t="s">
        <v>29</v>
      </c>
      <c r="J167" t="str">
        <f>+VLOOKUP(A167,[1]Buscador!$B:$E,4,0)</f>
        <v>Guayaquil</v>
      </c>
      <c r="K167" t="str">
        <f>+VLOOKUP(A167,[1]Buscador!$B:$F,5,0)</f>
        <v>Guayas</v>
      </c>
      <c r="L167" t="s">
        <v>31</v>
      </c>
      <c r="O167" t="s">
        <v>32</v>
      </c>
      <c r="P167" t="s">
        <v>33</v>
      </c>
      <c r="Q167" t="s">
        <v>852</v>
      </c>
      <c r="R167" t="s">
        <v>153</v>
      </c>
      <c r="S167" t="s">
        <v>908</v>
      </c>
      <c r="T167" t="s">
        <v>909</v>
      </c>
      <c r="U167" t="s">
        <v>910</v>
      </c>
      <c r="V167" t="s">
        <v>911</v>
      </c>
      <c r="W167">
        <v>-2.1839940000000002</v>
      </c>
      <c r="X167">
        <v>-79.976910000000004</v>
      </c>
      <c r="Y167">
        <v>0</v>
      </c>
      <c r="Z167">
        <f>+VLOOKUP(H167,Evalua!$G$2:$H$12,2,0)</f>
        <v>1</v>
      </c>
      <c r="AA167">
        <f>+VLOOKUP(I167,Evalua!$G$2:$H$12,2,0)</f>
        <v>2</v>
      </c>
    </row>
    <row r="168" spans="1:27" x14ac:dyDescent="0.2">
      <c r="A168" s="1" t="s">
        <v>912</v>
      </c>
      <c r="B168" t="s">
        <v>857</v>
      </c>
      <c r="C168" t="s">
        <v>98</v>
      </c>
      <c r="D168" t="s">
        <v>153</v>
      </c>
      <c r="E168" t="s">
        <v>26</v>
      </c>
      <c r="F168" t="s">
        <v>99</v>
      </c>
      <c r="G168" t="s">
        <v>27</v>
      </c>
      <c r="H168" t="s">
        <v>28</v>
      </c>
      <c r="I168" t="s">
        <v>29</v>
      </c>
      <c r="J168" t="str">
        <f>+VLOOKUP(A168,[1]Buscador!$B:$E,4,0)</f>
        <v>Quito</v>
      </c>
      <c r="K168" t="str">
        <f>+VLOOKUP(A168,[1]Buscador!$B:$F,5,0)</f>
        <v>Pichincha</v>
      </c>
      <c r="L168" t="s">
        <v>31</v>
      </c>
      <c r="O168" t="s">
        <v>32</v>
      </c>
      <c r="P168" t="s">
        <v>33</v>
      </c>
      <c r="Q168" t="s">
        <v>857</v>
      </c>
      <c r="R168" t="s">
        <v>153</v>
      </c>
      <c r="S168" t="s">
        <v>913</v>
      </c>
      <c r="T168" t="s">
        <v>914</v>
      </c>
      <c r="U168" t="s">
        <v>915</v>
      </c>
      <c r="V168" t="s">
        <v>916</v>
      </c>
      <c r="W168">
        <v>-0.15907670260000001</v>
      </c>
      <c r="X168">
        <v>-78.483303379000006</v>
      </c>
      <c r="Y168">
        <v>0</v>
      </c>
      <c r="Z168">
        <f>+VLOOKUP(H168,Evalua!$G$2:$H$12,2,0)</f>
        <v>1</v>
      </c>
      <c r="AA168">
        <f>+VLOOKUP(I168,Evalua!$G$2:$H$12,2,0)</f>
        <v>2</v>
      </c>
    </row>
    <row r="169" spans="1:27" x14ac:dyDescent="0.2">
      <c r="A169" s="1" t="s">
        <v>917</v>
      </c>
      <c r="B169" t="s">
        <v>862</v>
      </c>
      <c r="C169" t="s">
        <v>98</v>
      </c>
      <c r="D169" t="s">
        <v>153</v>
      </c>
      <c r="E169" t="s">
        <v>26</v>
      </c>
      <c r="F169" t="s">
        <v>99</v>
      </c>
      <c r="G169" t="s">
        <v>27</v>
      </c>
      <c r="H169" t="s">
        <v>28</v>
      </c>
      <c r="I169" t="s">
        <v>29</v>
      </c>
      <c r="J169" t="str">
        <f>+VLOOKUP(A169,[1]Buscador!$B:$E,4,0)</f>
        <v>Quito</v>
      </c>
      <c r="K169" t="str">
        <f>+VLOOKUP(A169,[1]Buscador!$B:$F,5,0)</f>
        <v>Pichincha</v>
      </c>
      <c r="L169" t="s">
        <v>31</v>
      </c>
      <c r="O169" t="s">
        <v>32</v>
      </c>
      <c r="P169" t="s">
        <v>33</v>
      </c>
      <c r="Q169" t="s">
        <v>862</v>
      </c>
      <c r="R169" t="s">
        <v>153</v>
      </c>
      <c r="S169" t="s">
        <v>918</v>
      </c>
      <c r="T169" t="s">
        <v>919</v>
      </c>
      <c r="U169" t="s">
        <v>920</v>
      </c>
      <c r="V169" t="s">
        <v>921</v>
      </c>
      <c r="W169">
        <v>-0.27543699999999999</v>
      </c>
      <c r="X169">
        <v>-78.512264999999999</v>
      </c>
      <c r="Y169">
        <v>0</v>
      </c>
      <c r="Z169">
        <f>+VLOOKUP(H169,Evalua!$G$2:$H$12,2,0)</f>
        <v>1</v>
      </c>
      <c r="AA169">
        <f>+VLOOKUP(I169,Evalua!$G$2:$H$12,2,0)</f>
        <v>2</v>
      </c>
    </row>
    <row r="170" spans="1:27" x14ac:dyDescent="0.2">
      <c r="A170" s="1" t="s">
        <v>922</v>
      </c>
      <c r="B170" t="s">
        <v>867</v>
      </c>
      <c r="C170" t="s">
        <v>98</v>
      </c>
      <c r="D170" t="s">
        <v>153</v>
      </c>
      <c r="E170" t="s">
        <v>26</v>
      </c>
      <c r="F170" t="s">
        <v>99</v>
      </c>
      <c r="G170" t="s">
        <v>46</v>
      </c>
      <c r="H170" t="s">
        <v>28</v>
      </c>
      <c r="I170" t="s">
        <v>29</v>
      </c>
      <c r="J170" t="str">
        <f>+VLOOKUP(A170,[1]Buscador!$B:$E,4,0)</f>
        <v>Guayaquil</v>
      </c>
      <c r="K170" t="str">
        <f>+VLOOKUP(A170,[1]Buscador!$B:$F,5,0)</f>
        <v>Guayas</v>
      </c>
      <c r="L170" t="s">
        <v>153</v>
      </c>
      <c r="O170" t="s">
        <v>32</v>
      </c>
      <c r="P170" t="s">
        <v>33</v>
      </c>
      <c r="Q170" t="s">
        <v>867</v>
      </c>
      <c r="R170" t="s">
        <v>153</v>
      </c>
      <c r="S170" t="s">
        <v>923</v>
      </c>
      <c r="T170" t="s">
        <v>924</v>
      </c>
      <c r="U170" t="s">
        <v>925</v>
      </c>
      <c r="V170" t="s">
        <v>926</v>
      </c>
      <c r="W170">
        <v>-2.2604146310000002</v>
      </c>
      <c r="X170">
        <v>-79.896301030299995</v>
      </c>
      <c r="Y170">
        <v>0</v>
      </c>
      <c r="Z170">
        <f>+VLOOKUP(H170,Evalua!$G$2:$H$12,2,0)</f>
        <v>1</v>
      </c>
      <c r="AA170">
        <f>+VLOOKUP(I170,Evalua!$G$2:$H$12,2,0)</f>
        <v>2</v>
      </c>
    </row>
    <row r="171" spans="1:27" x14ac:dyDescent="0.2">
      <c r="A171" s="1" t="s">
        <v>927</v>
      </c>
      <c r="B171" t="s">
        <v>872</v>
      </c>
      <c r="C171" t="s">
        <v>98</v>
      </c>
      <c r="D171" t="s">
        <v>153</v>
      </c>
      <c r="E171" t="s">
        <v>26</v>
      </c>
      <c r="F171" t="s">
        <v>99</v>
      </c>
      <c r="G171" t="s">
        <v>46</v>
      </c>
      <c r="H171" t="s">
        <v>28</v>
      </c>
      <c r="I171" t="s">
        <v>29</v>
      </c>
      <c r="J171" t="str">
        <f>+VLOOKUP(A171,[1]Buscador!$B:$E,4,0)</f>
        <v>Guayaquil</v>
      </c>
      <c r="K171" t="str">
        <f>+VLOOKUP(A171,[1]Buscador!$B:$F,5,0)</f>
        <v>Guayas</v>
      </c>
      <c r="L171" t="s">
        <v>153</v>
      </c>
      <c r="O171" t="s">
        <v>32</v>
      </c>
      <c r="P171" t="s">
        <v>33</v>
      </c>
      <c r="Q171" t="s">
        <v>872</v>
      </c>
      <c r="R171" t="s">
        <v>153</v>
      </c>
      <c r="S171" t="s">
        <v>928</v>
      </c>
      <c r="T171" t="s">
        <v>929</v>
      </c>
      <c r="U171" t="s">
        <v>930</v>
      </c>
      <c r="V171" t="s">
        <v>931</v>
      </c>
      <c r="W171">
        <v>-2.1474749262000001</v>
      </c>
      <c r="X171">
        <v>-79.905767072399996</v>
      </c>
      <c r="Y171">
        <v>0</v>
      </c>
      <c r="Z171">
        <f>+VLOOKUP(H171,Evalua!$G$2:$H$12,2,0)</f>
        <v>1</v>
      </c>
      <c r="AA171">
        <f>+VLOOKUP(I171,Evalua!$G$2:$H$12,2,0)</f>
        <v>2</v>
      </c>
    </row>
    <row r="172" spans="1:27" x14ac:dyDescent="0.2">
      <c r="A172" s="1" t="s">
        <v>932</v>
      </c>
      <c r="B172" t="s">
        <v>877</v>
      </c>
      <c r="C172" t="s">
        <v>98</v>
      </c>
      <c r="D172" t="s">
        <v>153</v>
      </c>
      <c r="E172" t="s">
        <v>26</v>
      </c>
      <c r="F172" t="s">
        <v>99</v>
      </c>
      <c r="G172" t="s">
        <v>46</v>
      </c>
      <c r="H172" t="s">
        <v>28</v>
      </c>
      <c r="I172" t="s">
        <v>29</v>
      </c>
      <c r="J172" t="str">
        <f>+VLOOKUP(A172,[1]Buscador!$B:$E,4,0)</f>
        <v>Guayaquil</v>
      </c>
      <c r="K172" t="str">
        <f>+VLOOKUP(A172,[1]Buscador!$B:$F,5,0)</f>
        <v>Guayas</v>
      </c>
      <c r="L172" t="s">
        <v>31</v>
      </c>
      <c r="O172" t="s">
        <v>32</v>
      </c>
      <c r="P172" t="s">
        <v>33</v>
      </c>
      <c r="Q172" t="s">
        <v>877</v>
      </c>
      <c r="R172" t="s">
        <v>153</v>
      </c>
      <c r="S172" t="s">
        <v>933</v>
      </c>
      <c r="T172" t="s">
        <v>934</v>
      </c>
      <c r="U172" t="s">
        <v>935</v>
      </c>
      <c r="V172" t="s">
        <v>936</v>
      </c>
      <c r="W172">
        <v>-2.1891895706</v>
      </c>
      <c r="X172">
        <v>-79.944021906700002</v>
      </c>
      <c r="Y172">
        <v>0</v>
      </c>
      <c r="Z172">
        <f>+VLOOKUP(H172,Evalua!$G$2:$H$12,2,0)</f>
        <v>1</v>
      </c>
      <c r="AA172">
        <f>+VLOOKUP(I172,Evalua!$G$2:$H$12,2,0)</f>
        <v>2</v>
      </c>
    </row>
    <row r="173" spans="1:27" x14ac:dyDescent="0.2">
      <c r="A173" s="1" t="s">
        <v>937</v>
      </c>
      <c r="B173" t="s">
        <v>882</v>
      </c>
      <c r="C173" t="s">
        <v>98</v>
      </c>
      <c r="D173" t="s">
        <v>153</v>
      </c>
      <c r="E173" t="s">
        <v>26</v>
      </c>
      <c r="F173" t="s">
        <v>99</v>
      </c>
      <c r="G173" t="s">
        <v>46</v>
      </c>
      <c r="H173" t="s">
        <v>28</v>
      </c>
      <c r="I173" t="s">
        <v>29</v>
      </c>
      <c r="J173" t="str">
        <f>+VLOOKUP(A173,[1]Buscador!$B:$E,4,0)</f>
        <v>Durán</v>
      </c>
      <c r="K173" t="str">
        <f>+VLOOKUP(A173,[1]Buscador!$B:$F,5,0)</f>
        <v>Guayas</v>
      </c>
      <c r="L173" t="s">
        <v>31</v>
      </c>
      <c r="O173" t="s">
        <v>32</v>
      </c>
      <c r="P173" t="s">
        <v>33</v>
      </c>
      <c r="Q173" t="s">
        <v>882</v>
      </c>
      <c r="R173" t="s">
        <v>153</v>
      </c>
      <c r="S173" t="s">
        <v>938</v>
      </c>
      <c r="T173" t="s">
        <v>939</v>
      </c>
      <c r="U173" t="s">
        <v>940</v>
      </c>
      <c r="V173" t="s">
        <v>941</v>
      </c>
      <c r="W173">
        <v>-2.2130281686000002</v>
      </c>
      <c r="X173">
        <v>-79.826093445200001</v>
      </c>
      <c r="Y173">
        <v>0</v>
      </c>
      <c r="Z173">
        <f>+VLOOKUP(H173,Evalua!$G$2:$H$12,2,0)</f>
        <v>1</v>
      </c>
      <c r="AA173">
        <f>+VLOOKUP(I173,Evalua!$G$2:$H$12,2,0)</f>
        <v>2</v>
      </c>
    </row>
    <row r="174" spans="1:27" x14ac:dyDescent="0.2">
      <c r="A174" s="1" t="s">
        <v>942</v>
      </c>
      <c r="B174" t="s">
        <v>887</v>
      </c>
      <c r="C174" t="s">
        <v>98</v>
      </c>
      <c r="D174" t="s">
        <v>153</v>
      </c>
      <c r="E174" t="s">
        <v>26</v>
      </c>
      <c r="F174" t="s">
        <v>99</v>
      </c>
      <c r="G174" t="s">
        <v>46</v>
      </c>
      <c r="H174" t="s">
        <v>28</v>
      </c>
      <c r="I174" t="s">
        <v>29</v>
      </c>
      <c r="J174" t="str">
        <f>+VLOOKUP(A174,[1]Buscador!$B:$E,4,0)</f>
        <v>Guayaquil</v>
      </c>
      <c r="K174" t="str">
        <f>+VLOOKUP(A174,[1]Buscador!$B:$F,5,0)</f>
        <v>Guayas</v>
      </c>
      <c r="L174" t="s">
        <v>153</v>
      </c>
      <c r="O174" t="s">
        <v>32</v>
      </c>
      <c r="P174" t="s">
        <v>33</v>
      </c>
      <c r="Q174" t="s">
        <v>887</v>
      </c>
      <c r="R174" t="s">
        <v>153</v>
      </c>
      <c r="S174" t="s">
        <v>943</v>
      </c>
      <c r="T174" t="s">
        <v>944</v>
      </c>
      <c r="U174" t="s">
        <v>945</v>
      </c>
      <c r="V174" t="s">
        <v>946</v>
      </c>
      <c r="W174">
        <v>-2.1914940000000001</v>
      </c>
      <c r="X174">
        <v>-79.882835999999998</v>
      </c>
      <c r="Y174">
        <v>0</v>
      </c>
      <c r="Z174">
        <f>+VLOOKUP(H174,Evalua!$G$2:$H$12,2,0)</f>
        <v>1</v>
      </c>
      <c r="AA174">
        <f>+VLOOKUP(I174,Evalua!$G$2:$H$12,2,0)</f>
        <v>2</v>
      </c>
    </row>
    <row r="175" spans="1:27" x14ac:dyDescent="0.2">
      <c r="A175" s="1" t="s">
        <v>947</v>
      </c>
      <c r="B175" t="s">
        <v>893</v>
      </c>
      <c r="C175" t="s">
        <v>98</v>
      </c>
      <c r="D175" t="s">
        <v>153</v>
      </c>
      <c r="E175" t="s">
        <v>26</v>
      </c>
      <c r="F175" t="s">
        <v>99</v>
      </c>
      <c r="G175" t="s">
        <v>46</v>
      </c>
      <c r="H175" t="s">
        <v>28</v>
      </c>
      <c r="I175" t="s">
        <v>29</v>
      </c>
      <c r="J175" t="str">
        <f>+VLOOKUP(A175,[1]Buscador!$B:$E,4,0)</f>
        <v>Guayaquil</v>
      </c>
      <c r="K175" t="str">
        <f>+VLOOKUP(A175,[1]Buscador!$B:$F,5,0)</f>
        <v>Guayas</v>
      </c>
      <c r="L175" t="s">
        <v>31</v>
      </c>
      <c r="O175" t="s">
        <v>32</v>
      </c>
      <c r="P175" t="s">
        <v>33</v>
      </c>
      <c r="Q175" t="s">
        <v>893</v>
      </c>
      <c r="R175" t="s">
        <v>153</v>
      </c>
      <c r="S175" t="s">
        <v>948</v>
      </c>
      <c r="T175" t="s">
        <v>949</v>
      </c>
      <c r="U175" t="s">
        <v>950</v>
      </c>
      <c r="V175" t="s">
        <v>951</v>
      </c>
      <c r="W175">
        <v>-2.1849135624999998</v>
      </c>
      <c r="X175">
        <v>-79.881834699400002</v>
      </c>
      <c r="Y175">
        <v>0</v>
      </c>
      <c r="Z175">
        <f>+VLOOKUP(H175,Evalua!$G$2:$H$12,2,0)</f>
        <v>1</v>
      </c>
      <c r="AA175">
        <f>+VLOOKUP(I175,Evalua!$G$2:$H$12,2,0)</f>
        <v>2</v>
      </c>
    </row>
    <row r="176" spans="1:27" x14ac:dyDescent="0.2">
      <c r="A176" s="1" t="s">
        <v>952</v>
      </c>
      <c r="B176" t="s">
        <v>898</v>
      </c>
      <c r="C176" t="s">
        <v>98</v>
      </c>
      <c r="D176" t="s">
        <v>153</v>
      </c>
      <c r="E176" t="s">
        <v>26</v>
      </c>
      <c r="F176" t="s">
        <v>99</v>
      </c>
      <c r="G176" t="s">
        <v>27</v>
      </c>
      <c r="H176" t="s">
        <v>28</v>
      </c>
      <c r="I176" t="s">
        <v>29</v>
      </c>
      <c r="J176" t="str">
        <f>+VLOOKUP(A176,[1]Buscador!$B:$E,4,0)</f>
        <v>Calderón</v>
      </c>
      <c r="K176" t="str">
        <f>+VLOOKUP(A176,[1]Buscador!$B:$F,5,0)</f>
        <v>Pichincha</v>
      </c>
      <c r="L176" t="s">
        <v>153</v>
      </c>
      <c r="O176" t="s">
        <v>32</v>
      </c>
      <c r="P176" t="s">
        <v>33</v>
      </c>
      <c r="Q176" t="s">
        <v>898</v>
      </c>
      <c r="R176" t="s">
        <v>153</v>
      </c>
      <c r="S176" t="s">
        <v>953</v>
      </c>
      <c r="T176" t="s">
        <v>954</v>
      </c>
      <c r="U176" t="s">
        <v>955</v>
      </c>
      <c r="V176" t="s">
        <v>956</v>
      </c>
      <c r="W176">
        <v>-0.10317715230000001</v>
      </c>
      <c r="X176">
        <v>-78.424161818100004</v>
      </c>
      <c r="Y176">
        <v>0</v>
      </c>
      <c r="Z176">
        <f>+VLOOKUP(H176,Evalua!$G$2:$H$12,2,0)</f>
        <v>1</v>
      </c>
      <c r="AA176">
        <f>+VLOOKUP(I176,Evalua!$G$2:$H$12,2,0)</f>
        <v>2</v>
      </c>
    </row>
    <row r="177" spans="1:27" x14ac:dyDescent="0.2">
      <c r="A177" s="1" t="s">
        <v>957</v>
      </c>
      <c r="B177" t="s">
        <v>903</v>
      </c>
      <c r="C177" t="s">
        <v>98</v>
      </c>
      <c r="D177" t="s">
        <v>153</v>
      </c>
      <c r="E177" t="s">
        <v>26</v>
      </c>
      <c r="F177" t="s">
        <v>99</v>
      </c>
      <c r="G177" t="s">
        <v>27</v>
      </c>
      <c r="H177" t="s">
        <v>28</v>
      </c>
      <c r="I177" t="s">
        <v>29</v>
      </c>
      <c r="J177" t="str">
        <f>+VLOOKUP(A177,[1]Buscador!$B:$E,4,0)</f>
        <v>Quito</v>
      </c>
      <c r="K177" t="str">
        <f>+VLOOKUP(A177,[1]Buscador!$B:$F,5,0)</f>
        <v>Pichincha</v>
      </c>
      <c r="L177" t="s">
        <v>31</v>
      </c>
      <c r="O177" t="s">
        <v>32</v>
      </c>
      <c r="P177" t="s">
        <v>33</v>
      </c>
      <c r="Q177" t="s">
        <v>903</v>
      </c>
      <c r="R177" t="s">
        <v>153</v>
      </c>
      <c r="S177" t="s">
        <v>958</v>
      </c>
      <c r="T177" t="s">
        <v>959</v>
      </c>
      <c r="U177" t="s">
        <v>960</v>
      </c>
      <c r="V177" t="s">
        <v>961</v>
      </c>
      <c r="W177">
        <v>-0.1660392376</v>
      </c>
      <c r="X177">
        <v>-78.476094563900006</v>
      </c>
      <c r="Y177">
        <v>0</v>
      </c>
      <c r="Z177">
        <f>+VLOOKUP(H177,Evalua!$G$2:$H$12,2,0)</f>
        <v>1</v>
      </c>
      <c r="AA177">
        <f>+VLOOKUP(I177,Evalua!$G$2:$H$12,2,0)</f>
        <v>2</v>
      </c>
    </row>
    <row r="178" spans="1:27" x14ac:dyDescent="0.2">
      <c r="A178" s="1" t="s">
        <v>962</v>
      </c>
      <c r="B178" t="s">
        <v>908</v>
      </c>
      <c r="C178" t="s">
        <v>98</v>
      </c>
      <c r="D178" t="s">
        <v>153</v>
      </c>
      <c r="E178" t="s">
        <v>26</v>
      </c>
      <c r="F178" t="s">
        <v>99</v>
      </c>
      <c r="G178" t="s">
        <v>46</v>
      </c>
      <c r="H178" t="s">
        <v>28</v>
      </c>
      <c r="I178" t="s">
        <v>29</v>
      </c>
      <c r="J178" t="str">
        <f>+VLOOKUP(A178,[1]Buscador!$B:$E,4,0)</f>
        <v>Guayaquil</v>
      </c>
      <c r="K178" t="str">
        <f>+VLOOKUP(A178,[1]Buscador!$B:$F,5,0)</f>
        <v>Guayas</v>
      </c>
      <c r="L178" t="s">
        <v>31</v>
      </c>
      <c r="O178" t="s">
        <v>32</v>
      </c>
      <c r="P178" t="s">
        <v>33</v>
      </c>
      <c r="Q178" t="s">
        <v>908</v>
      </c>
      <c r="R178" t="s">
        <v>153</v>
      </c>
      <c r="S178" t="s">
        <v>963</v>
      </c>
      <c r="T178" t="s">
        <v>964</v>
      </c>
      <c r="U178" t="s">
        <v>965</v>
      </c>
      <c r="V178" t="s">
        <v>966</v>
      </c>
      <c r="W178">
        <v>-2.1822450452000002</v>
      </c>
      <c r="X178">
        <v>-79.889762360199995</v>
      </c>
      <c r="Y178">
        <v>0</v>
      </c>
      <c r="Z178">
        <f>+VLOOKUP(H178,Evalua!$G$2:$H$12,2,0)</f>
        <v>1</v>
      </c>
      <c r="AA178">
        <f>+VLOOKUP(I178,Evalua!$G$2:$H$12,2,0)</f>
        <v>2</v>
      </c>
    </row>
    <row r="179" spans="1:27" x14ac:dyDescent="0.2">
      <c r="A179" s="1" t="s">
        <v>967</v>
      </c>
      <c r="B179" t="s">
        <v>913</v>
      </c>
      <c r="C179" t="s">
        <v>98</v>
      </c>
      <c r="D179" t="s">
        <v>153</v>
      </c>
      <c r="E179" t="s">
        <v>26</v>
      </c>
      <c r="F179" t="s">
        <v>99</v>
      </c>
      <c r="G179" t="s">
        <v>46</v>
      </c>
      <c r="H179" t="s">
        <v>28</v>
      </c>
      <c r="I179" t="s">
        <v>29</v>
      </c>
      <c r="J179" t="str">
        <f>+VLOOKUP(A179,[1]Buscador!$B:$E,4,0)</f>
        <v>Samborondón</v>
      </c>
      <c r="K179" t="str">
        <f>+VLOOKUP(A179,[1]Buscador!$B:$F,5,0)</f>
        <v>Guayas</v>
      </c>
      <c r="L179" t="s">
        <v>31</v>
      </c>
      <c r="O179" t="s">
        <v>32</v>
      </c>
      <c r="P179" t="s">
        <v>33</v>
      </c>
      <c r="Q179" t="s">
        <v>913</v>
      </c>
      <c r="R179" t="s">
        <v>153</v>
      </c>
      <c r="S179" t="s">
        <v>968</v>
      </c>
      <c r="T179" t="s">
        <v>969</v>
      </c>
      <c r="U179" t="s">
        <v>970</v>
      </c>
      <c r="V179" t="s">
        <v>971</v>
      </c>
      <c r="W179">
        <v>-2.1133265275999999</v>
      </c>
      <c r="X179">
        <v>-79.870816069300005</v>
      </c>
      <c r="Y179">
        <v>0</v>
      </c>
      <c r="Z179">
        <f>+VLOOKUP(H179,Evalua!$G$2:$H$12,2,0)</f>
        <v>1</v>
      </c>
      <c r="AA179">
        <f>+VLOOKUP(I179,Evalua!$G$2:$H$12,2,0)</f>
        <v>2</v>
      </c>
    </row>
    <row r="180" spans="1:27" x14ac:dyDescent="0.2">
      <c r="A180" s="1" t="s">
        <v>972</v>
      </c>
      <c r="B180" t="s">
        <v>918</v>
      </c>
      <c r="C180" t="s">
        <v>98</v>
      </c>
      <c r="D180" t="s">
        <v>153</v>
      </c>
      <c r="E180" t="s">
        <v>26</v>
      </c>
      <c r="F180" t="s">
        <v>99</v>
      </c>
      <c r="G180" t="s">
        <v>27</v>
      </c>
      <c r="H180" t="s">
        <v>28</v>
      </c>
      <c r="I180" t="s">
        <v>29</v>
      </c>
      <c r="J180" t="str">
        <f>+VLOOKUP(A180,[1]Buscador!$B:$E,4,0)</f>
        <v>Sangolquí</v>
      </c>
      <c r="K180" t="str">
        <f>+VLOOKUP(A180,[1]Buscador!$B:$F,5,0)</f>
        <v>Pichincha</v>
      </c>
      <c r="L180" t="s">
        <v>153</v>
      </c>
      <c r="O180" t="s">
        <v>32</v>
      </c>
      <c r="P180" t="s">
        <v>33</v>
      </c>
      <c r="Q180" t="s">
        <v>918</v>
      </c>
      <c r="R180" t="s">
        <v>153</v>
      </c>
      <c r="S180" t="s">
        <v>973</v>
      </c>
      <c r="T180" t="s">
        <v>974</v>
      </c>
      <c r="U180" t="s">
        <v>975</v>
      </c>
      <c r="V180" t="s">
        <v>976</v>
      </c>
      <c r="W180">
        <v>-0.32772240689999999</v>
      </c>
      <c r="X180">
        <v>-78.450253377400003</v>
      </c>
      <c r="Y180">
        <v>0</v>
      </c>
      <c r="Z180">
        <f>+VLOOKUP(H180,Evalua!$G$2:$H$12,2,0)</f>
        <v>1</v>
      </c>
      <c r="AA180">
        <f>+VLOOKUP(I180,Evalua!$G$2:$H$12,2,0)</f>
        <v>2</v>
      </c>
    </row>
    <row r="181" spans="1:27" x14ac:dyDescent="0.2">
      <c r="A181" s="1" t="s">
        <v>977</v>
      </c>
      <c r="B181" t="s">
        <v>923</v>
      </c>
      <c r="C181" t="s">
        <v>98</v>
      </c>
      <c r="D181" t="s">
        <v>153</v>
      </c>
      <c r="E181" t="s">
        <v>26</v>
      </c>
      <c r="F181" t="s">
        <v>99</v>
      </c>
      <c r="G181" t="s">
        <v>46</v>
      </c>
      <c r="H181" t="s">
        <v>28</v>
      </c>
      <c r="I181" t="s">
        <v>29</v>
      </c>
      <c r="J181" t="str">
        <f>+VLOOKUP(A181,[1]Buscador!$B:$E,4,0)</f>
        <v>Guayaquil</v>
      </c>
      <c r="K181" t="str">
        <f>+VLOOKUP(A181,[1]Buscador!$B:$F,5,0)</f>
        <v>Guayas</v>
      </c>
      <c r="L181" t="s">
        <v>153</v>
      </c>
      <c r="O181" t="s">
        <v>32</v>
      </c>
      <c r="P181" t="s">
        <v>33</v>
      </c>
      <c r="Q181" t="s">
        <v>923</v>
      </c>
      <c r="R181" t="s">
        <v>153</v>
      </c>
      <c r="S181" t="s">
        <v>978</v>
      </c>
      <c r="T181" t="s">
        <v>979</v>
      </c>
      <c r="U181" t="s">
        <v>980</v>
      </c>
      <c r="V181" t="s">
        <v>981</v>
      </c>
      <c r="W181">
        <v>-2.1382411329000002</v>
      </c>
      <c r="X181">
        <v>-79.8914255209</v>
      </c>
      <c r="Y181">
        <v>0</v>
      </c>
      <c r="Z181">
        <f>+VLOOKUP(H181,Evalua!$G$2:$H$12,2,0)</f>
        <v>1</v>
      </c>
      <c r="AA181">
        <f>+VLOOKUP(I181,Evalua!$G$2:$H$12,2,0)</f>
        <v>2</v>
      </c>
    </row>
    <row r="182" spans="1:27" x14ac:dyDescent="0.2">
      <c r="A182" s="1" t="s">
        <v>982</v>
      </c>
      <c r="B182" t="s">
        <v>928</v>
      </c>
      <c r="C182" t="s">
        <v>98</v>
      </c>
      <c r="D182" t="s">
        <v>1970</v>
      </c>
      <c r="E182" t="s">
        <v>26</v>
      </c>
      <c r="F182" t="s">
        <v>99</v>
      </c>
      <c r="G182" t="s">
        <v>46</v>
      </c>
      <c r="H182" t="s">
        <v>123</v>
      </c>
      <c r="I182" t="s">
        <v>29</v>
      </c>
      <c r="J182" t="str">
        <f>+VLOOKUP(A182,[1]Buscador!$B:$E,4,0)</f>
        <v>Guayaquil</v>
      </c>
      <c r="K182" t="str">
        <f>+VLOOKUP(A182,[1]Buscador!$B:$F,5,0)</f>
        <v>Guayas</v>
      </c>
      <c r="L182" t="s">
        <v>153</v>
      </c>
      <c r="O182" t="s">
        <v>125</v>
      </c>
      <c r="P182" t="s">
        <v>126</v>
      </c>
      <c r="Q182" t="s">
        <v>928</v>
      </c>
      <c r="R182" t="s">
        <v>153</v>
      </c>
      <c r="S182" t="s">
        <v>983</v>
      </c>
      <c r="T182" t="s">
        <v>984</v>
      </c>
      <c r="U182" t="s">
        <v>985</v>
      </c>
      <c r="V182" t="s">
        <v>986</v>
      </c>
      <c r="W182">
        <v>-2.1259835368000002</v>
      </c>
      <c r="X182">
        <v>-79.897769377399996</v>
      </c>
      <c r="Y182">
        <v>0</v>
      </c>
      <c r="Z182">
        <f>+VLOOKUP(H182,Evalua!$G$2:$H$12,2,0)</f>
        <v>4</v>
      </c>
      <c r="AA182">
        <f>+VLOOKUP(I182,Evalua!$G$2:$H$12,2,0)</f>
        <v>2</v>
      </c>
    </row>
    <row r="183" spans="1:27" x14ac:dyDescent="0.2">
      <c r="A183" s="1" t="s">
        <v>987</v>
      </c>
      <c r="B183" t="s">
        <v>933</v>
      </c>
      <c r="C183" t="s">
        <v>98</v>
      </c>
      <c r="D183" t="s">
        <v>153</v>
      </c>
      <c r="E183" t="s">
        <v>26</v>
      </c>
      <c r="F183" t="s">
        <v>99</v>
      </c>
      <c r="G183" t="s">
        <v>988</v>
      </c>
      <c r="H183" t="s">
        <v>123</v>
      </c>
      <c r="I183" t="s">
        <v>234</v>
      </c>
      <c r="J183" t="str">
        <f>+VLOOKUP(A183,[1]Buscador!$B:$E,4,0)</f>
        <v>Puerto Ayora</v>
      </c>
      <c r="K183" t="str">
        <f>+VLOOKUP(A183,[1]Buscador!$B:$F,5,0)</f>
        <v>Galápagos</v>
      </c>
      <c r="L183" t="s">
        <v>153</v>
      </c>
      <c r="O183" t="s">
        <v>990</v>
      </c>
      <c r="P183" t="s">
        <v>83</v>
      </c>
      <c r="Q183" t="s">
        <v>933</v>
      </c>
      <c r="R183" t="s">
        <v>153</v>
      </c>
      <c r="S183" t="s">
        <v>991</v>
      </c>
      <c r="T183" t="s">
        <v>992</v>
      </c>
      <c r="U183" t="s">
        <v>993</v>
      </c>
      <c r="V183" t="s">
        <v>994</v>
      </c>
      <c r="W183">
        <v>-0.74773832149999997</v>
      </c>
      <c r="X183">
        <v>-90.313735658599995</v>
      </c>
      <c r="Y183">
        <v>0</v>
      </c>
      <c r="Z183">
        <f>+VLOOKUP(H183,Evalua!$G$2:$H$12,2,0)</f>
        <v>4</v>
      </c>
      <c r="AA183">
        <f>+VLOOKUP(I183,Evalua!$G$2:$H$12,2,0)</f>
        <v>1</v>
      </c>
    </row>
    <row r="184" spans="1:27" x14ac:dyDescent="0.2">
      <c r="A184" s="1" t="s">
        <v>995</v>
      </c>
      <c r="B184" t="s">
        <v>938</v>
      </c>
      <c r="C184" t="s">
        <v>98</v>
      </c>
      <c r="D184" t="s">
        <v>153</v>
      </c>
      <c r="E184" t="s">
        <v>26</v>
      </c>
      <c r="F184" t="s">
        <v>99</v>
      </c>
      <c r="G184" t="s">
        <v>46</v>
      </c>
      <c r="H184" t="s">
        <v>28</v>
      </c>
      <c r="I184" t="s">
        <v>29</v>
      </c>
      <c r="J184" t="str">
        <f>+VLOOKUP(A184,[1]Buscador!$B:$E,4,0)</f>
        <v>Guayaquil</v>
      </c>
      <c r="K184" t="str">
        <f>+VLOOKUP(A184,[1]Buscador!$B:$F,5,0)</f>
        <v>Guayas</v>
      </c>
      <c r="L184" t="s">
        <v>31</v>
      </c>
      <c r="O184" t="s">
        <v>32</v>
      </c>
      <c r="P184" t="s">
        <v>33</v>
      </c>
      <c r="Q184" t="s">
        <v>938</v>
      </c>
      <c r="R184" t="s">
        <v>153</v>
      </c>
      <c r="S184" t="s">
        <v>996</v>
      </c>
      <c r="T184" t="s">
        <v>997</v>
      </c>
      <c r="U184" t="s">
        <v>998</v>
      </c>
      <c r="V184" t="s">
        <v>999</v>
      </c>
      <c r="W184">
        <v>-2.169042964</v>
      </c>
      <c r="X184">
        <v>-79.896997210400002</v>
      </c>
      <c r="Y184">
        <v>0</v>
      </c>
      <c r="Z184">
        <f>+VLOOKUP(H184,Evalua!$G$2:$H$12,2,0)</f>
        <v>1</v>
      </c>
      <c r="AA184">
        <f>+VLOOKUP(I184,Evalua!$G$2:$H$12,2,0)</f>
        <v>2</v>
      </c>
    </row>
    <row r="185" spans="1:27" x14ac:dyDescent="0.2">
      <c r="A185" s="1" t="s">
        <v>1000</v>
      </c>
      <c r="B185" t="s">
        <v>943</v>
      </c>
      <c r="C185" t="s">
        <v>98</v>
      </c>
      <c r="D185" t="s">
        <v>153</v>
      </c>
      <c r="E185" t="s">
        <v>26</v>
      </c>
      <c r="F185" t="s">
        <v>99</v>
      </c>
      <c r="G185" t="s">
        <v>46</v>
      </c>
      <c r="H185" t="s">
        <v>28</v>
      </c>
      <c r="I185" t="s">
        <v>29</v>
      </c>
      <c r="J185" t="str">
        <f>+VLOOKUP(A185,[1]Buscador!$B:$E,4,0)</f>
        <v>Guayaquil</v>
      </c>
      <c r="K185" t="str">
        <f>+VLOOKUP(A185,[1]Buscador!$B:$F,5,0)</f>
        <v>Guayas</v>
      </c>
      <c r="L185" t="s">
        <v>31</v>
      </c>
      <c r="O185" t="s">
        <v>32</v>
      </c>
      <c r="P185" t="s">
        <v>33</v>
      </c>
      <c r="Q185" t="s">
        <v>943</v>
      </c>
      <c r="R185" t="s">
        <v>153</v>
      </c>
      <c r="S185" t="s">
        <v>1001</v>
      </c>
      <c r="T185" t="s">
        <v>1002</v>
      </c>
      <c r="U185" t="s">
        <v>1003</v>
      </c>
      <c r="V185" t="s">
        <v>1004</v>
      </c>
      <c r="W185">
        <v>-2.1821769815000001</v>
      </c>
      <c r="X185">
        <v>-79.985473965599994</v>
      </c>
      <c r="Y185">
        <v>0</v>
      </c>
      <c r="Z185">
        <f>+VLOOKUP(H185,Evalua!$G$2:$H$12,2,0)</f>
        <v>1</v>
      </c>
      <c r="AA185">
        <f>+VLOOKUP(I185,Evalua!$G$2:$H$12,2,0)</f>
        <v>2</v>
      </c>
    </row>
    <row r="186" spans="1:27" x14ac:dyDescent="0.2">
      <c r="A186" s="1" t="s">
        <v>1005</v>
      </c>
      <c r="B186" t="s">
        <v>948</v>
      </c>
      <c r="C186" t="s">
        <v>98</v>
      </c>
      <c r="D186" t="s">
        <v>153</v>
      </c>
      <c r="E186" t="s">
        <v>26</v>
      </c>
      <c r="F186" t="s">
        <v>99</v>
      </c>
      <c r="G186" t="s">
        <v>46</v>
      </c>
      <c r="H186" t="s">
        <v>28</v>
      </c>
      <c r="I186" t="s">
        <v>29</v>
      </c>
      <c r="J186" t="str">
        <f>+VLOOKUP(A186,[1]Buscador!$B:$E,4,0)</f>
        <v>Guayaquil</v>
      </c>
      <c r="K186" t="str">
        <f>+VLOOKUP(A186,[1]Buscador!$B:$F,5,0)</f>
        <v>Guayas</v>
      </c>
      <c r="L186" t="s">
        <v>31</v>
      </c>
      <c r="O186" t="s">
        <v>32</v>
      </c>
      <c r="P186" t="s">
        <v>33</v>
      </c>
      <c r="Q186" t="s">
        <v>948</v>
      </c>
      <c r="R186" t="s">
        <v>153</v>
      </c>
      <c r="S186" t="s">
        <v>1006</v>
      </c>
      <c r="T186" t="s">
        <v>1007</v>
      </c>
      <c r="U186" t="s">
        <v>1008</v>
      </c>
      <c r="V186" t="s">
        <v>1009</v>
      </c>
      <c r="W186">
        <v>-2.1956280000000001</v>
      </c>
      <c r="X186">
        <v>-79.896410000000003</v>
      </c>
      <c r="Y186">
        <v>0</v>
      </c>
      <c r="Z186">
        <f>+VLOOKUP(H186,Evalua!$G$2:$H$12,2,0)</f>
        <v>1</v>
      </c>
      <c r="AA186">
        <f>+VLOOKUP(I186,Evalua!$G$2:$H$12,2,0)</f>
        <v>2</v>
      </c>
    </row>
    <row r="187" spans="1:27" x14ac:dyDescent="0.2">
      <c r="A187" s="1" t="s">
        <v>1010</v>
      </c>
      <c r="B187" t="s">
        <v>953</v>
      </c>
      <c r="C187" t="s">
        <v>98</v>
      </c>
      <c r="D187" t="s">
        <v>153</v>
      </c>
      <c r="E187" t="s">
        <v>26</v>
      </c>
      <c r="F187" t="s">
        <v>99</v>
      </c>
      <c r="G187" t="s">
        <v>170</v>
      </c>
      <c r="H187" t="s">
        <v>81</v>
      </c>
      <c r="I187" t="s">
        <v>160</v>
      </c>
      <c r="J187" t="str">
        <f>+VLOOKUP(A187,[1]Buscador!$B:$E,4,0)</f>
        <v>Portoviejo</v>
      </c>
      <c r="K187" t="str">
        <f>+VLOOKUP(A187,[1]Buscador!$B:$F,5,0)</f>
        <v>Manabí</v>
      </c>
      <c r="L187" t="s">
        <v>153</v>
      </c>
      <c r="O187" t="s">
        <v>208</v>
      </c>
      <c r="P187" t="s">
        <v>126</v>
      </c>
      <c r="Q187" t="s">
        <v>953</v>
      </c>
      <c r="R187" t="s">
        <v>153</v>
      </c>
      <c r="S187" t="s">
        <v>1011</v>
      </c>
      <c r="T187" t="s">
        <v>1012</v>
      </c>
      <c r="U187" t="s">
        <v>1013</v>
      </c>
      <c r="V187" t="s">
        <v>1014</v>
      </c>
      <c r="W187">
        <v>-1.061762367</v>
      </c>
      <c r="X187">
        <v>-80.458987089000004</v>
      </c>
      <c r="Y187">
        <v>0</v>
      </c>
      <c r="Z187">
        <f>+VLOOKUP(H187,Evalua!$G$2:$H$12,2,0)</f>
        <v>3</v>
      </c>
      <c r="AA187">
        <f>+VLOOKUP(I187,Evalua!$G$2:$H$12,2,0)</f>
        <v>3</v>
      </c>
    </row>
    <row r="188" spans="1:27" x14ac:dyDescent="0.2">
      <c r="A188" s="1" t="s">
        <v>1015</v>
      </c>
      <c r="B188" t="s">
        <v>958</v>
      </c>
      <c r="C188" t="s">
        <v>98</v>
      </c>
      <c r="D188" t="s">
        <v>153</v>
      </c>
      <c r="E188" t="s">
        <v>26</v>
      </c>
      <c r="F188" t="s">
        <v>99</v>
      </c>
      <c r="G188" t="s">
        <v>46</v>
      </c>
      <c r="H188" t="s">
        <v>28</v>
      </c>
      <c r="I188" t="s">
        <v>29</v>
      </c>
      <c r="J188" t="str">
        <f>+VLOOKUP(A188,[1]Buscador!$B:$E,4,0)</f>
        <v>Guayaquil</v>
      </c>
      <c r="K188" t="str">
        <f>+VLOOKUP(A188,[1]Buscador!$B:$F,5,0)</f>
        <v>Guayas</v>
      </c>
      <c r="L188" t="s">
        <v>31</v>
      </c>
      <c r="O188" t="s">
        <v>32</v>
      </c>
      <c r="P188" t="s">
        <v>33</v>
      </c>
      <c r="Q188" t="s">
        <v>958</v>
      </c>
      <c r="R188" t="s">
        <v>153</v>
      </c>
      <c r="S188" t="s">
        <v>1016</v>
      </c>
      <c r="T188" t="s">
        <v>1017</v>
      </c>
      <c r="U188" t="s">
        <v>1018</v>
      </c>
      <c r="V188" t="s">
        <v>1019</v>
      </c>
      <c r="W188">
        <v>-2.1823897507000001</v>
      </c>
      <c r="X188">
        <v>-79.948905300099995</v>
      </c>
      <c r="Y188">
        <v>0</v>
      </c>
      <c r="Z188">
        <f>+VLOOKUP(H188,Evalua!$G$2:$H$12,2,0)</f>
        <v>1</v>
      </c>
      <c r="AA188">
        <f>+VLOOKUP(I188,Evalua!$G$2:$H$12,2,0)</f>
        <v>2</v>
      </c>
    </row>
    <row r="189" spans="1:27" x14ac:dyDescent="0.2">
      <c r="A189" s="1" t="s">
        <v>1020</v>
      </c>
      <c r="B189" t="s">
        <v>963</v>
      </c>
      <c r="C189" t="s">
        <v>98</v>
      </c>
      <c r="D189" t="s">
        <v>153</v>
      </c>
      <c r="E189" t="s">
        <v>26</v>
      </c>
      <c r="F189" t="s">
        <v>99</v>
      </c>
      <c r="G189" t="s">
        <v>46</v>
      </c>
      <c r="H189" t="s">
        <v>28</v>
      </c>
      <c r="I189" t="s">
        <v>29</v>
      </c>
      <c r="J189" t="str">
        <f>+VLOOKUP(A189,[1]Buscador!$B:$E,4,0)</f>
        <v>Durán</v>
      </c>
      <c r="K189" t="str">
        <f>+VLOOKUP(A189,[1]Buscador!$B:$F,5,0)</f>
        <v>Guayas</v>
      </c>
      <c r="L189" t="s">
        <v>31</v>
      </c>
      <c r="O189" t="s">
        <v>32</v>
      </c>
      <c r="P189" t="s">
        <v>33</v>
      </c>
      <c r="Q189" t="s">
        <v>963</v>
      </c>
      <c r="R189" t="s">
        <v>153</v>
      </c>
      <c r="S189" t="s">
        <v>1021</v>
      </c>
      <c r="T189" t="s">
        <v>1022</v>
      </c>
      <c r="U189" t="s">
        <v>1023</v>
      </c>
      <c r="V189" t="s">
        <v>1024</v>
      </c>
      <c r="W189">
        <v>-2.1755199966999998</v>
      </c>
      <c r="X189">
        <v>-79.830847261100004</v>
      </c>
      <c r="Y189">
        <v>0</v>
      </c>
      <c r="Z189">
        <f>+VLOOKUP(H189,Evalua!$G$2:$H$12,2,0)</f>
        <v>1</v>
      </c>
      <c r="AA189">
        <f>+VLOOKUP(I189,Evalua!$G$2:$H$12,2,0)</f>
        <v>2</v>
      </c>
    </row>
    <row r="190" spans="1:27" x14ac:dyDescent="0.2">
      <c r="A190" s="1" t="s">
        <v>1025</v>
      </c>
      <c r="B190" t="s">
        <v>968</v>
      </c>
      <c r="C190" t="s">
        <v>98</v>
      </c>
      <c r="D190" t="s">
        <v>153</v>
      </c>
      <c r="E190" t="s">
        <v>26</v>
      </c>
      <c r="F190" t="s">
        <v>99</v>
      </c>
      <c r="G190" t="s">
        <v>46</v>
      </c>
      <c r="H190" t="s">
        <v>81</v>
      </c>
      <c r="I190" t="s">
        <v>29</v>
      </c>
      <c r="J190" t="str">
        <f>+VLOOKUP(A190,[1]Buscador!$B:$E,4,0)</f>
        <v>Guayaquil</v>
      </c>
      <c r="K190" t="str">
        <f>+VLOOKUP(A190,[1]Buscador!$B:$F,5,0)</f>
        <v>Guayas</v>
      </c>
      <c r="L190" t="s">
        <v>31</v>
      </c>
      <c r="O190" t="s">
        <v>82</v>
      </c>
      <c r="P190" t="s">
        <v>83</v>
      </c>
      <c r="Q190" t="s">
        <v>968</v>
      </c>
      <c r="R190" t="s">
        <v>153</v>
      </c>
      <c r="S190" t="s">
        <v>1026</v>
      </c>
      <c r="T190" t="s">
        <v>1027</v>
      </c>
      <c r="U190" t="s">
        <v>1028</v>
      </c>
      <c r="V190" t="s">
        <v>1029</v>
      </c>
      <c r="W190">
        <v>-2.1321880000000002</v>
      </c>
      <c r="X190">
        <v>-79.908045999999999</v>
      </c>
      <c r="Y190">
        <v>0</v>
      </c>
      <c r="Z190">
        <f>+VLOOKUP(H190,Evalua!$G$2:$H$12,2,0)</f>
        <v>3</v>
      </c>
      <c r="AA190">
        <f>+VLOOKUP(I190,Evalua!$G$2:$H$12,2,0)</f>
        <v>2</v>
      </c>
    </row>
    <row r="191" spans="1:27" x14ac:dyDescent="0.2">
      <c r="A191" s="1" t="s">
        <v>1030</v>
      </c>
      <c r="B191" t="s">
        <v>973</v>
      </c>
      <c r="C191" t="s">
        <v>98</v>
      </c>
      <c r="D191" t="s">
        <v>153</v>
      </c>
      <c r="E191" t="s">
        <v>26</v>
      </c>
      <c r="F191" t="s">
        <v>99</v>
      </c>
      <c r="G191" t="s">
        <v>46</v>
      </c>
      <c r="H191" t="s">
        <v>28</v>
      </c>
      <c r="I191" t="s">
        <v>29</v>
      </c>
      <c r="J191" t="str">
        <f>+VLOOKUP(A191,[1]Buscador!$B:$E,4,0)</f>
        <v>Guayaquil</v>
      </c>
      <c r="K191" t="str">
        <f>+VLOOKUP(A191,[1]Buscador!$B:$F,5,0)</f>
        <v>Guayas</v>
      </c>
      <c r="L191" t="s">
        <v>31</v>
      </c>
      <c r="O191" t="s">
        <v>32</v>
      </c>
      <c r="P191" t="s">
        <v>33</v>
      </c>
      <c r="Q191" t="s">
        <v>973</v>
      </c>
      <c r="R191" t="s">
        <v>153</v>
      </c>
      <c r="S191" t="s">
        <v>1031</v>
      </c>
      <c r="T191" t="s">
        <v>1032</v>
      </c>
      <c r="U191" t="s">
        <v>1033</v>
      </c>
      <c r="V191" t="s">
        <v>1034</v>
      </c>
      <c r="W191">
        <v>-2.1396199999999999</v>
      </c>
      <c r="X191">
        <v>-79.898430000000005</v>
      </c>
      <c r="Y191">
        <v>0</v>
      </c>
      <c r="Z191">
        <f>+VLOOKUP(H191,Evalua!$G$2:$H$12,2,0)</f>
        <v>1</v>
      </c>
      <c r="AA191">
        <f>+VLOOKUP(I191,Evalua!$G$2:$H$12,2,0)</f>
        <v>2</v>
      </c>
    </row>
    <row r="192" spans="1:27" x14ac:dyDescent="0.2">
      <c r="A192" s="1" t="s">
        <v>1035</v>
      </c>
      <c r="B192" t="s">
        <v>978</v>
      </c>
      <c r="C192" t="s">
        <v>98</v>
      </c>
      <c r="D192" t="s">
        <v>153</v>
      </c>
      <c r="E192" t="s">
        <v>26</v>
      </c>
      <c r="F192" t="s">
        <v>99</v>
      </c>
      <c r="G192" t="s">
        <v>46</v>
      </c>
      <c r="H192" t="s">
        <v>28</v>
      </c>
      <c r="I192" t="s">
        <v>29</v>
      </c>
      <c r="J192" t="str">
        <f>+VLOOKUP(A192,[1]Buscador!$B:$E,4,0)</f>
        <v>Guayaquil</v>
      </c>
      <c r="K192" t="str">
        <f>+VLOOKUP(A192,[1]Buscador!$B:$F,5,0)</f>
        <v>Guayas</v>
      </c>
      <c r="L192" t="s">
        <v>31</v>
      </c>
      <c r="O192" t="s">
        <v>32</v>
      </c>
      <c r="P192" t="s">
        <v>33</v>
      </c>
      <c r="Q192" t="s">
        <v>978</v>
      </c>
      <c r="R192" t="s">
        <v>153</v>
      </c>
      <c r="S192" t="s">
        <v>1036</v>
      </c>
      <c r="T192" t="s">
        <v>1037</v>
      </c>
      <c r="U192" t="s">
        <v>1038</v>
      </c>
      <c r="V192" t="s">
        <v>1039</v>
      </c>
      <c r="W192">
        <v>-2.1983796230000001</v>
      </c>
      <c r="X192">
        <v>-79.884574652699996</v>
      </c>
      <c r="Y192">
        <v>0</v>
      </c>
      <c r="Z192">
        <f>+VLOOKUP(H192,Evalua!$G$2:$H$12,2,0)</f>
        <v>1</v>
      </c>
      <c r="AA192">
        <f>+VLOOKUP(I192,Evalua!$G$2:$H$12,2,0)</f>
        <v>2</v>
      </c>
    </row>
    <row r="193" spans="1:27" x14ac:dyDescent="0.2">
      <c r="A193" s="1" t="s">
        <v>1040</v>
      </c>
      <c r="B193" t="s">
        <v>983</v>
      </c>
      <c r="C193" t="s">
        <v>98</v>
      </c>
      <c r="D193" t="s">
        <v>153</v>
      </c>
      <c r="E193" t="s">
        <v>26</v>
      </c>
      <c r="F193" t="s">
        <v>99</v>
      </c>
      <c r="G193" t="s">
        <v>27</v>
      </c>
      <c r="H193" t="s">
        <v>28</v>
      </c>
      <c r="I193" t="s">
        <v>29</v>
      </c>
      <c r="J193" t="str">
        <f>+VLOOKUP(A193,[1]Buscador!$B:$E,4,0)</f>
        <v>Conocoto</v>
      </c>
      <c r="K193" t="str">
        <f>+VLOOKUP(A193,[1]Buscador!$B:$F,5,0)</f>
        <v>Pichincha</v>
      </c>
      <c r="L193" t="s">
        <v>31</v>
      </c>
      <c r="O193" t="s">
        <v>32</v>
      </c>
      <c r="P193" t="s">
        <v>33</v>
      </c>
      <c r="Q193" t="s">
        <v>983</v>
      </c>
      <c r="R193" t="s">
        <v>153</v>
      </c>
      <c r="S193" t="s">
        <v>1041</v>
      </c>
      <c r="T193" t="s">
        <v>1042</v>
      </c>
      <c r="U193" t="s">
        <v>1043</v>
      </c>
      <c r="V193" t="s">
        <v>1044</v>
      </c>
      <c r="W193">
        <v>-0.29363</v>
      </c>
      <c r="X193">
        <v>-78.478886000000003</v>
      </c>
      <c r="Y193">
        <v>0</v>
      </c>
      <c r="Z193">
        <f>+VLOOKUP(H193,Evalua!$G$2:$H$12,2,0)</f>
        <v>1</v>
      </c>
      <c r="AA193">
        <f>+VLOOKUP(I193,Evalua!$G$2:$H$12,2,0)</f>
        <v>2</v>
      </c>
    </row>
    <row r="194" spans="1:27" x14ac:dyDescent="0.2">
      <c r="A194" s="1" t="s">
        <v>1045</v>
      </c>
      <c r="B194" t="s">
        <v>991</v>
      </c>
      <c r="C194" t="s">
        <v>98</v>
      </c>
      <c r="D194" t="s">
        <v>153</v>
      </c>
      <c r="E194" t="s">
        <v>26</v>
      </c>
      <c r="F194" t="s">
        <v>99</v>
      </c>
      <c r="G194" t="s">
        <v>27</v>
      </c>
      <c r="H194" t="s">
        <v>28</v>
      </c>
      <c r="I194" t="s">
        <v>29</v>
      </c>
      <c r="J194" t="str">
        <f>+VLOOKUP(A194,[1]Buscador!$B:$E,4,0)</f>
        <v>El Condado</v>
      </c>
      <c r="K194" t="str">
        <f>+VLOOKUP(A194,[1]Buscador!$B:$F,5,0)</f>
        <v>Pichincha</v>
      </c>
      <c r="L194" t="s">
        <v>31</v>
      </c>
      <c r="O194" t="s">
        <v>32</v>
      </c>
      <c r="P194" t="s">
        <v>33</v>
      </c>
      <c r="Q194" t="s">
        <v>991</v>
      </c>
      <c r="R194" t="s">
        <v>153</v>
      </c>
      <c r="S194" t="s">
        <v>1046</v>
      </c>
      <c r="T194" t="s">
        <v>1047</v>
      </c>
      <c r="U194" t="s">
        <v>1048</v>
      </c>
      <c r="V194" t="s">
        <v>1049</v>
      </c>
      <c r="W194">
        <v>-0.1143422372</v>
      </c>
      <c r="X194">
        <v>-78.495563631300001</v>
      </c>
      <c r="Y194">
        <v>0</v>
      </c>
      <c r="Z194">
        <f>+VLOOKUP(H194,Evalua!$G$2:$H$12,2,0)</f>
        <v>1</v>
      </c>
      <c r="AA194">
        <f>+VLOOKUP(I194,Evalua!$G$2:$H$12,2,0)</f>
        <v>2</v>
      </c>
    </row>
    <row r="195" spans="1:27" x14ac:dyDescent="0.2">
      <c r="A195" s="1" t="s">
        <v>1050</v>
      </c>
      <c r="B195" t="s">
        <v>996</v>
      </c>
      <c r="C195" t="s">
        <v>98</v>
      </c>
      <c r="D195" t="s">
        <v>153</v>
      </c>
      <c r="E195" t="s">
        <v>26</v>
      </c>
      <c r="F195" t="s">
        <v>99</v>
      </c>
      <c r="G195" t="s">
        <v>46</v>
      </c>
      <c r="H195" t="s">
        <v>28</v>
      </c>
      <c r="I195" t="s">
        <v>29</v>
      </c>
      <c r="J195" t="str">
        <f>+VLOOKUP(A195,[1]Buscador!$B:$E,4,0)</f>
        <v>Durán</v>
      </c>
      <c r="K195" t="str">
        <f>+VLOOKUP(A195,[1]Buscador!$B:$F,5,0)</f>
        <v>Guayas</v>
      </c>
      <c r="L195" t="s">
        <v>31</v>
      </c>
      <c r="O195" t="s">
        <v>32</v>
      </c>
      <c r="P195" t="s">
        <v>33</v>
      </c>
      <c r="Q195" t="s">
        <v>996</v>
      </c>
      <c r="R195" t="s">
        <v>153</v>
      </c>
      <c r="S195" t="s">
        <v>1051</v>
      </c>
      <c r="T195" t="s">
        <v>1052</v>
      </c>
      <c r="U195" t="s">
        <v>1053</v>
      </c>
      <c r="V195" t="s">
        <v>1054</v>
      </c>
      <c r="W195">
        <v>-2.1704007385000001</v>
      </c>
      <c r="X195">
        <v>-79.852365835000001</v>
      </c>
      <c r="Y195">
        <v>0</v>
      </c>
      <c r="Z195">
        <f>+VLOOKUP(H195,Evalua!$G$2:$H$12,2,0)</f>
        <v>1</v>
      </c>
      <c r="AA195">
        <f>+VLOOKUP(I195,Evalua!$G$2:$H$12,2,0)</f>
        <v>2</v>
      </c>
    </row>
    <row r="196" spans="1:27" x14ac:dyDescent="0.2">
      <c r="A196" s="1" t="s">
        <v>1055</v>
      </c>
      <c r="B196" t="s">
        <v>1001</v>
      </c>
      <c r="C196" t="s">
        <v>98</v>
      </c>
      <c r="D196" t="s">
        <v>153</v>
      </c>
      <c r="E196" t="s">
        <v>26</v>
      </c>
      <c r="F196" t="s">
        <v>99</v>
      </c>
      <c r="G196" t="s">
        <v>46</v>
      </c>
      <c r="H196" t="s">
        <v>81</v>
      </c>
      <c r="I196" t="s">
        <v>160</v>
      </c>
      <c r="J196" t="str">
        <f>+VLOOKUP(A196,[1]Buscador!$B:$E,4,0)</f>
        <v>Durán</v>
      </c>
      <c r="K196" t="str">
        <f>+VLOOKUP(A196,[1]Buscador!$B:$F,5,0)</f>
        <v>Guayas</v>
      </c>
      <c r="L196" t="s">
        <v>31</v>
      </c>
      <c r="O196" t="s">
        <v>208</v>
      </c>
      <c r="P196" t="s">
        <v>126</v>
      </c>
      <c r="Q196" t="s">
        <v>1001</v>
      </c>
      <c r="R196" t="s">
        <v>153</v>
      </c>
      <c r="S196" t="s">
        <v>1056</v>
      </c>
      <c r="T196" t="s">
        <v>1057</v>
      </c>
      <c r="U196" t="s">
        <v>1058</v>
      </c>
      <c r="V196" t="s">
        <v>1059</v>
      </c>
      <c r="W196">
        <v>-2.1649928954000002</v>
      </c>
      <c r="X196">
        <v>-79.844669602500005</v>
      </c>
      <c r="Y196">
        <v>0</v>
      </c>
      <c r="Z196">
        <f>+VLOOKUP(H196,Evalua!$G$2:$H$12,2,0)</f>
        <v>3</v>
      </c>
      <c r="AA196">
        <f>+VLOOKUP(I196,Evalua!$G$2:$H$12,2,0)</f>
        <v>3</v>
      </c>
    </row>
    <row r="197" spans="1:27" x14ac:dyDescent="0.2">
      <c r="A197" s="1" t="s">
        <v>1060</v>
      </c>
      <c r="B197" t="s">
        <v>1006</v>
      </c>
      <c r="C197" t="s">
        <v>98</v>
      </c>
      <c r="D197" t="s">
        <v>153</v>
      </c>
      <c r="E197" t="s">
        <v>26</v>
      </c>
      <c r="F197" t="s">
        <v>99</v>
      </c>
      <c r="G197" t="s">
        <v>46</v>
      </c>
      <c r="H197" t="s">
        <v>28</v>
      </c>
      <c r="I197" t="s">
        <v>29</v>
      </c>
      <c r="J197" t="str">
        <f>+VLOOKUP(A197,[1]Buscador!$B:$E,4,0)</f>
        <v>Guayaquil</v>
      </c>
      <c r="K197" t="str">
        <f>+VLOOKUP(A197,[1]Buscador!$B:$F,5,0)</f>
        <v>Guayas</v>
      </c>
      <c r="L197" t="s">
        <v>153</v>
      </c>
      <c r="O197" t="s">
        <v>32</v>
      </c>
      <c r="P197" t="s">
        <v>33</v>
      </c>
      <c r="Q197" t="s">
        <v>1006</v>
      </c>
      <c r="R197" t="s">
        <v>153</v>
      </c>
      <c r="S197" t="s">
        <v>1061</v>
      </c>
      <c r="T197" t="s">
        <v>1062</v>
      </c>
      <c r="U197" t="s">
        <v>1063</v>
      </c>
      <c r="V197" t="s">
        <v>1064</v>
      </c>
      <c r="W197">
        <v>-2.2610079999999999</v>
      </c>
      <c r="X197">
        <v>-79.878241000000003</v>
      </c>
      <c r="Y197">
        <v>0</v>
      </c>
      <c r="Z197">
        <f>+VLOOKUP(H197,Evalua!$G$2:$H$12,2,0)</f>
        <v>1</v>
      </c>
      <c r="AA197">
        <f>+VLOOKUP(I197,Evalua!$G$2:$H$12,2,0)</f>
        <v>2</v>
      </c>
    </row>
    <row r="198" spans="1:27" x14ac:dyDescent="0.2">
      <c r="A198" s="1" t="s">
        <v>1065</v>
      </c>
      <c r="B198" t="s">
        <v>1011</v>
      </c>
      <c r="C198" t="s">
        <v>98</v>
      </c>
      <c r="D198" t="s">
        <v>153</v>
      </c>
      <c r="E198" t="s">
        <v>26</v>
      </c>
      <c r="F198" t="s">
        <v>99</v>
      </c>
      <c r="G198" t="s">
        <v>194</v>
      </c>
      <c r="H198" t="s">
        <v>28</v>
      </c>
      <c r="I198" t="s">
        <v>234</v>
      </c>
      <c r="J198" t="str">
        <f>+VLOOKUP(A198,[1]Buscador!$B:$E,4,0)</f>
        <v>Esmeraldas</v>
      </c>
      <c r="K198" t="str">
        <f>+VLOOKUP(A198,[1]Buscador!$B:$F,5,0)</f>
        <v>Esmeraldas</v>
      </c>
      <c r="L198" t="s">
        <v>31</v>
      </c>
      <c r="O198" t="s">
        <v>729</v>
      </c>
      <c r="P198" t="s">
        <v>730</v>
      </c>
      <c r="Q198" t="s">
        <v>1011</v>
      </c>
      <c r="R198" t="s">
        <v>153</v>
      </c>
      <c r="S198" t="s">
        <v>1067</v>
      </c>
      <c r="T198" t="s">
        <v>1068</v>
      </c>
      <c r="U198" t="s">
        <v>1069</v>
      </c>
      <c r="V198" t="s">
        <v>1070</v>
      </c>
      <c r="W198">
        <v>0.93252695429999999</v>
      </c>
      <c r="X198">
        <v>-79.672041012999998</v>
      </c>
      <c r="Y198">
        <v>0</v>
      </c>
      <c r="Z198">
        <f>+VLOOKUP(H198,Evalua!$G$2:$H$12,2,0)</f>
        <v>1</v>
      </c>
      <c r="AA198">
        <f>+VLOOKUP(I198,Evalua!$G$2:$H$12,2,0)</f>
        <v>1</v>
      </c>
    </row>
    <row r="199" spans="1:27" x14ac:dyDescent="0.2">
      <c r="A199" s="1" t="s">
        <v>1071</v>
      </c>
      <c r="B199" t="s">
        <v>1016</v>
      </c>
      <c r="C199" t="s">
        <v>98</v>
      </c>
      <c r="D199" t="s">
        <v>153</v>
      </c>
      <c r="E199" t="s">
        <v>26</v>
      </c>
      <c r="F199" t="s">
        <v>99</v>
      </c>
      <c r="G199" t="s">
        <v>46</v>
      </c>
      <c r="H199" t="s">
        <v>28</v>
      </c>
      <c r="I199" t="s">
        <v>29</v>
      </c>
      <c r="J199" t="str">
        <f>+VLOOKUP(A199,[1]Buscador!$B:$E,4,0)</f>
        <v>Guayaquil</v>
      </c>
      <c r="K199" t="str">
        <f>+VLOOKUP(A199,[1]Buscador!$B:$F,5,0)</f>
        <v>Guayas</v>
      </c>
      <c r="L199" t="s">
        <v>153</v>
      </c>
      <c r="O199" t="s">
        <v>32</v>
      </c>
      <c r="P199" t="s">
        <v>33</v>
      </c>
      <c r="Q199" t="s">
        <v>1016</v>
      </c>
      <c r="R199" t="s">
        <v>153</v>
      </c>
      <c r="S199" t="s">
        <v>1072</v>
      </c>
      <c r="T199" t="s">
        <v>1073</v>
      </c>
      <c r="U199" t="s">
        <v>1074</v>
      </c>
      <c r="V199" t="s">
        <v>1075</v>
      </c>
      <c r="W199">
        <v>-2.104618726</v>
      </c>
      <c r="X199">
        <v>-79.954315185499993</v>
      </c>
      <c r="Y199">
        <v>0</v>
      </c>
      <c r="Z199">
        <f>+VLOOKUP(H199,Evalua!$G$2:$H$12,2,0)</f>
        <v>1</v>
      </c>
      <c r="AA199">
        <f>+VLOOKUP(I199,Evalua!$G$2:$H$12,2,0)</f>
        <v>2</v>
      </c>
    </row>
    <row r="200" spans="1:27" x14ac:dyDescent="0.2">
      <c r="A200" s="1" t="s">
        <v>1076</v>
      </c>
      <c r="B200" t="s">
        <v>1021</v>
      </c>
      <c r="C200" t="s">
        <v>98</v>
      </c>
      <c r="D200" t="s">
        <v>153</v>
      </c>
      <c r="E200" t="s">
        <v>26</v>
      </c>
      <c r="F200" t="s">
        <v>99</v>
      </c>
      <c r="G200" t="s">
        <v>46</v>
      </c>
      <c r="H200" t="s">
        <v>28</v>
      </c>
      <c r="I200" t="s">
        <v>29</v>
      </c>
      <c r="J200" t="str">
        <f>+VLOOKUP(A200,[1]Buscador!$B:$E,4,0)</f>
        <v>La Aurora</v>
      </c>
      <c r="K200" t="str">
        <f>+VLOOKUP(A200,[1]Buscador!$B:$F,5,0)</f>
        <v>Guayas</v>
      </c>
      <c r="L200" t="s">
        <v>31</v>
      </c>
      <c r="O200" t="s">
        <v>32</v>
      </c>
      <c r="P200" t="s">
        <v>33</v>
      </c>
      <c r="Q200" t="s">
        <v>1021</v>
      </c>
      <c r="R200" t="s">
        <v>153</v>
      </c>
      <c r="S200" t="s">
        <v>1077</v>
      </c>
      <c r="T200" t="s">
        <v>1078</v>
      </c>
      <c r="U200" t="s">
        <v>1079</v>
      </c>
      <c r="V200" t="s">
        <v>1080</v>
      </c>
      <c r="W200">
        <v>-2.0525768049000002</v>
      </c>
      <c r="X200">
        <v>-79.880695271199997</v>
      </c>
      <c r="Y200">
        <v>0</v>
      </c>
      <c r="Z200">
        <f>+VLOOKUP(H200,Evalua!$G$2:$H$12,2,0)</f>
        <v>1</v>
      </c>
      <c r="AA200">
        <f>+VLOOKUP(I200,Evalua!$G$2:$H$12,2,0)</f>
        <v>2</v>
      </c>
    </row>
    <row r="201" spans="1:27" x14ac:dyDescent="0.2">
      <c r="A201" s="1" t="s">
        <v>1081</v>
      </c>
      <c r="B201" t="s">
        <v>1026</v>
      </c>
      <c r="C201" t="s">
        <v>98</v>
      </c>
      <c r="D201" t="s">
        <v>153</v>
      </c>
      <c r="E201" t="s">
        <v>26</v>
      </c>
      <c r="F201" t="s">
        <v>99</v>
      </c>
      <c r="G201" t="s">
        <v>46</v>
      </c>
      <c r="H201" t="s">
        <v>28</v>
      </c>
      <c r="I201" t="s">
        <v>29</v>
      </c>
      <c r="J201" t="str">
        <f>+VLOOKUP(A201,[1]Buscador!$B:$E,4,0)</f>
        <v>Guayaquil</v>
      </c>
      <c r="K201" t="str">
        <f>+VLOOKUP(A201,[1]Buscador!$B:$F,5,0)</f>
        <v>Guayas</v>
      </c>
      <c r="L201" t="s">
        <v>153</v>
      </c>
      <c r="O201" t="s">
        <v>32</v>
      </c>
      <c r="P201" t="s">
        <v>33</v>
      </c>
      <c r="Q201" t="s">
        <v>1026</v>
      </c>
      <c r="R201" t="s">
        <v>153</v>
      </c>
      <c r="S201" t="s">
        <v>1082</v>
      </c>
      <c r="T201" t="s">
        <v>1083</v>
      </c>
      <c r="U201" t="s">
        <v>1084</v>
      </c>
      <c r="V201" t="s">
        <v>1085</v>
      </c>
      <c r="W201">
        <v>-2.2512463482</v>
      </c>
      <c r="X201">
        <v>-79.884848395899994</v>
      </c>
      <c r="Y201">
        <v>0</v>
      </c>
      <c r="Z201">
        <f>+VLOOKUP(H201,Evalua!$G$2:$H$12,2,0)</f>
        <v>1</v>
      </c>
      <c r="AA201">
        <f>+VLOOKUP(I201,Evalua!$G$2:$H$12,2,0)</f>
        <v>2</v>
      </c>
    </row>
    <row r="202" spans="1:27" x14ac:dyDescent="0.2">
      <c r="A202" s="1" t="s">
        <v>1086</v>
      </c>
      <c r="B202" t="s">
        <v>1031</v>
      </c>
      <c r="C202" t="s">
        <v>98</v>
      </c>
      <c r="D202" t="s">
        <v>153</v>
      </c>
      <c r="E202" t="s">
        <v>26</v>
      </c>
      <c r="F202" t="s">
        <v>99</v>
      </c>
      <c r="G202" t="s">
        <v>183</v>
      </c>
      <c r="H202" t="s">
        <v>28</v>
      </c>
      <c r="I202" t="s">
        <v>160</v>
      </c>
      <c r="J202" t="str">
        <f>+VLOOKUP(A202,[1]Buscador!$B:$E,4,0)</f>
        <v>La Maná</v>
      </c>
      <c r="K202" t="str">
        <f>+VLOOKUP(A202,[1]Buscador!$B:$F,5,0)</f>
        <v>Cotopaxi</v>
      </c>
      <c r="L202" t="s">
        <v>31</v>
      </c>
      <c r="O202" t="s">
        <v>162</v>
      </c>
      <c r="P202" t="s">
        <v>83</v>
      </c>
      <c r="Q202" t="s">
        <v>1031</v>
      </c>
      <c r="R202" t="s">
        <v>153</v>
      </c>
      <c r="S202" t="s">
        <v>1087</v>
      </c>
      <c r="T202" t="s">
        <v>1088</v>
      </c>
      <c r="U202" t="s">
        <v>1089</v>
      </c>
      <c r="V202" t="s">
        <v>1090</v>
      </c>
      <c r="W202">
        <v>-0.94144799999999995</v>
      </c>
      <c r="X202">
        <v>-79.227945000000005</v>
      </c>
      <c r="Y202">
        <v>0</v>
      </c>
      <c r="Z202">
        <f>+VLOOKUP(H202,Evalua!$G$2:$H$12,2,0)</f>
        <v>1</v>
      </c>
      <c r="AA202">
        <f>+VLOOKUP(I202,Evalua!$G$2:$H$12,2,0)</f>
        <v>3</v>
      </c>
    </row>
    <row r="203" spans="1:27" x14ac:dyDescent="0.2">
      <c r="A203" s="1" t="s">
        <v>1091</v>
      </c>
      <c r="B203" t="s">
        <v>1036</v>
      </c>
      <c r="C203" t="s">
        <v>98</v>
      </c>
      <c r="D203" t="s">
        <v>153</v>
      </c>
      <c r="E203" t="s">
        <v>26</v>
      </c>
      <c r="F203" t="s">
        <v>99</v>
      </c>
      <c r="G203" t="s">
        <v>27</v>
      </c>
      <c r="H203" t="s">
        <v>28</v>
      </c>
      <c r="I203" t="s">
        <v>29</v>
      </c>
      <c r="J203" t="str">
        <f>+VLOOKUP(A203,[1]Buscador!$B:$E,4,0)</f>
        <v>Carapungo</v>
      </c>
      <c r="K203" t="str">
        <f>+VLOOKUP(A203,[1]Buscador!$B:$F,5,0)</f>
        <v>Pichincha</v>
      </c>
      <c r="L203" t="s">
        <v>31</v>
      </c>
      <c r="O203" t="s">
        <v>32</v>
      </c>
      <c r="P203" t="s">
        <v>33</v>
      </c>
      <c r="Q203" t="s">
        <v>1036</v>
      </c>
      <c r="R203" t="s">
        <v>153</v>
      </c>
      <c r="S203" t="s">
        <v>1092</v>
      </c>
      <c r="T203" t="s">
        <v>1093</v>
      </c>
      <c r="U203" t="s">
        <v>1094</v>
      </c>
      <c r="V203" t="s">
        <v>1095</v>
      </c>
      <c r="W203">
        <v>-0.1093187117</v>
      </c>
      <c r="X203">
        <v>-78.4450855467</v>
      </c>
      <c r="Y203">
        <v>0</v>
      </c>
      <c r="Z203">
        <f>+VLOOKUP(H203,Evalua!$G$2:$H$12,2,0)</f>
        <v>1</v>
      </c>
      <c r="AA203">
        <f>+VLOOKUP(I203,Evalua!$G$2:$H$12,2,0)</f>
        <v>2</v>
      </c>
    </row>
    <row r="204" spans="1:27" x14ac:dyDescent="0.2">
      <c r="A204" s="1" t="s">
        <v>1096</v>
      </c>
      <c r="B204" t="s">
        <v>1041</v>
      </c>
      <c r="C204" t="s">
        <v>98</v>
      </c>
      <c r="D204" t="s">
        <v>153</v>
      </c>
      <c r="E204" t="s">
        <v>26</v>
      </c>
      <c r="F204" t="s">
        <v>99</v>
      </c>
      <c r="G204" t="s">
        <v>46</v>
      </c>
      <c r="H204" t="s">
        <v>28</v>
      </c>
      <c r="I204" t="s">
        <v>29</v>
      </c>
      <c r="J204" t="str">
        <f>+VLOOKUP(A204,[1]Buscador!$B:$E,4,0)</f>
        <v>Guayaquil</v>
      </c>
      <c r="K204" t="str">
        <f>+VLOOKUP(A204,[1]Buscador!$B:$F,5,0)</f>
        <v>Guayas</v>
      </c>
      <c r="L204" t="s">
        <v>153</v>
      </c>
      <c r="O204" t="s">
        <v>32</v>
      </c>
      <c r="P204" t="s">
        <v>33</v>
      </c>
      <c r="Q204" t="s">
        <v>1041</v>
      </c>
      <c r="R204" t="s">
        <v>153</v>
      </c>
      <c r="S204" t="s">
        <v>1097</v>
      </c>
      <c r="T204" t="s">
        <v>1098</v>
      </c>
      <c r="U204" t="s">
        <v>1099</v>
      </c>
      <c r="V204" t="s">
        <v>1100</v>
      </c>
      <c r="W204">
        <v>-2.2509105544999999</v>
      </c>
      <c r="X204">
        <v>-79.899715861999994</v>
      </c>
      <c r="Y204">
        <v>0</v>
      </c>
      <c r="Z204">
        <f>+VLOOKUP(H204,Evalua!$G$2:$H$12,2,0)</f>
        <v>1</v>
      </c>
      <c r="AA204">
        <f>+VLOOKUP(I204,Evalua!$G$2:$H$12,2,0)</f>
        <v>2</v>
      </c>
    </row>
    <row r="205" spans="1:27" x14ac:dyDescent="0.2">
      <c r="A205" s="1" t="s">
        <v>1101</v>
      </c>
      <c r="B205" t="s">
        <v>1046</v>
      </c>
      <c r="C205" t="s">
        <v>98</v>
      </c>
      <c r="D205" t="s">
        <v>153</v>
      </c>
      <c r="E205" t="s">
        <v>26</v>
      </c>
      <c r="F205" t="s">
        <v>99</v>
      </c>
      <c r="G205" t="s">
        <v>46</v>
      </c>
      <c r="H205" t="s">
        <v>28</v>
      </c>
      <c r="I205" t="s">
        <v>29</v>
      </c>
      <c r="J205" t="str">
        <f>+VLOOKUP(A205,[1]Buscador!$B:$E,4,0)</f>
        <v>Guayaquil</v>
      </c>
      <c r="K205" t="str">
        <f>+VLOOKUP(A205,[1]Buscador!$B:$F,5,0)</f>
        <v>Guayas</v>
      </c>
      <c r="L205" t="s">
        <v>31</v>
      </c>
      <c r="O205" t="s">
        <v>32</v>
      </c>
      <c r="P205" t="s">
        <v>33</v>
      </c>
      <c r="Q205" t="s">
        <v>1046</v>
      </c>
      <c r="R205" t="s">
        <v>153</v>
      </c>
      <c r="S205" t="s">
        <v>1102</v>
      </c>
      <c r="T205" t="s">
        <v>1103</v>
      </c>
      <c r="U205" t="s">
        <v>1104</v>
      </c>
      <c r="V205" t="s">
        <v>1105</v>
      </c>
      <c r="W205">
        <v>-2.1577440000000001</v>
      </c>
      <c r="X205">
        <v>-79.919684000000004</v>
      </c>
      <c r="Y205">
        <v>0</v>
      </c>
      <c r="Z205">
        <f>+VLOOKUP(H205,Evalua!$G$2:$H$12,2,0)</f>
        <v>1</v>
      </c>
      <c r="AA205">
        <f>+VLOOKUP(I205,Evalua!$G$2:$H$12,2,0)</f>
        <v>2</v>
      </c>
    </row>
    <row r="206" spans="1:27" x14ac:dyDescent="0.2">
      <c r="A206" s="1" t="s">
        <v>1106</v>
      </c>
      <c r="B206" t="s">
        <v>1051</v>
      </c>
      <c r="C206" t="s">
        <v>98</v>
      </c>
      <c r="D206" t="s">
        <v>153</v>
      </c>
      <c r="E206" t="s">
        <v>26</v>
      </c>
      <c r="F206" t="s">
        <v>99</v>
      </c>
      <c r="G206" t="s">
        <v>46</v>
      </c>
      <c r="H206" t="s">
        <v>81</v>
      </c>
      <c r="I206" t="s">
        <v>29</v>
      </c>
      <c r="J206" t="str">
        <f>+VLOOKUP(A206,[1]Buscador!$B:$E,4,0)</f>
        <v>Guayaquil</v>
      </c>
      <c r="K206" t="str">
        <f>+VLOOKUP(A206,[1]Buscador!$B:$F,5,0)</f>
        <v>Guayas</v>
      </c>
      <c r="L206" t="s">
        <v>31</v>
      </c>
      <c r="O206" t="s">
        <v>82</v>
      </c>
      <c r="P206" t="s">
        <v>83</v>
      </c>
      <c r="Q206" t="s">
        <v>1051</v>
      </c>
      <c r="R206" t="s">
        <v>153</v>
      </c>
      <c r="S206" t="s">
        <v>1107</v>
      </c>
      <c r="T206" t="s">
        <v>1108</v>
      </c>
      <c r="U206" t="s">
        <v>1109</v>
      </c>
      <c r="V206" t="s">
        <v>1110</v>
      </c>
      <c r="W206">
        <v>-2.1950347617000001</v>
      </c>
      <c r="X206">
        <v>-79.887821864900005</v>
      </c>
      <c r="Y206">
        <v>0</v>
      </c>
      <c r="Z206">
        <f>+VLOOKUP(H206,Evalua!$G$2:$H$12,2,0)</f>
        <v>3</v>
      </c>
      <c r="AA206">
        <f>+VLOOKUP(I206,Evalua!$G$2:$H$12,2,0)</f>
        <v>2</v>
      </c>
    </row>
    <row r="207" spans="1:27" x14ac:dyDescent="0.2">
      <c r="A207" s="1" t="s">
        <v>1111</v>
      </c>
      <c r="B207" t="s">
        <v>1056</v>
      </c>
      <c r="C207" t="s">
        <v>98</v>
      </c>
      <c r="D207" t="s">
        <v>153</v>
      </c>
      <c r="E207" t="s">
        <v>26</v>
      </c>
      <c r="F207" t="s">
        <v>99</v>
      </c>
      <c r="G207" t="s">
        <v>46</v>
      </c>
      <c r="H207" t="s">
        <v>28</v>
      </c>
      <c r="I207" t="s">
        <v>29</v>
      </c>
      <c r="J207" t="str">
        <f>+VLOOKUP(A207,[1]Buscador!$B:$E,4,0)</f>
        <v>Montañita</v>
      </c>
      <c r="K207" t="str">
        <f>+VLOOKUP(A207,[1]Buscador!$B:$F,5,0)</f>
        <v>Santa Elena</v>
      </c>
      <c r="L207" t="s">
        <v>31</v>
      </c>
      <c r="O207" t="s">
        <v>32</v>
      </c>
      <c r="P207" t="s">
        <v>33</v>
      </c>
      <c r="Q207" t="s">
        <v>1056</v>
      </c>
      <c r="R207" t="s">
        <v>1922</v>
      </c>
      <c r="S207" t="s">
        <v>1113</v>
      </c>
      <c r="T207" t="s">
        <v>1114</v>
      </c>
      <c r="U207" t="s">
        <v>1115</v>
      </c>
      <c r="V207" t="s">
        <v>1116</v>
      </c>
      <c r="W207">
        <v>-1.8230011746999999</v>
      </c>
      <c r="X207">
        <v>-80.753352321400001</v>
      </c>
      <c r="Y207">
        <v>0</v>
      </c>
      <c r="Z207">
        <f>+VLOOKUP(H207,Evalua!$G$2:$H$12,2,0)</f>
        <v>1</v>
      </c>
      <c r="AA207">
        <f>+VLOOKUP(I207,Evalua!$G$2:$H$12,2,0)</f>
        <v>2</v>
      </c>
    </row>
    <row r="208" spans="1:27" x14ac:dyDescent="0.2">
      <c r="A208" s="1" t="s">
        <v>1117</v>
      </c>
      <c r="B208" t="s">
        <v>1061</v>
      </c>
      <c r="C208" t="s">
        <v>98</v>
      </c>
      <c r="D208" t="s">
        <v>153</v>
      </c>
      <c r="E208" t="s">
        <v>26</v>
      </c>
      <c r="F208" t="s">
        <v>99</v>
      </c>
      <c r="G208" t="s">
        <v>170</v>
      </c>
      <c r="H208" t="s">
        <v>81</v>
      </c>
      <c r="I208" t="s">
        <v>160</v>
      </c>
      <c r="J208" t="str">
        <f>+VLOOKUP(A208,[1]Buscador!$B:$E,4,0)</f>
        <v>Montecristi</v>
      </c>
      <c r="K208" t="str">
        <f>+VLOOKUP(A208,[1]Buscador!$B:$F,5,0)</f>
        <v>Manabí</v>
      </c>
      <c r="L208" t="s">
        <v>31</v>
      </c>
      <c r="O208" t="s">
        <v>208</v>
      </c>
      <c r="P208" t="s">
        <v>126</v>
      </c>
      <c r="Q208" t="s">
        <v>1061</v>
      </c>
      <c r="R208" t="s">
        <v>153</v>
      </c>
      <c r="S208" t="s">
        <v>1118</v>
      </c>
      <c r="T208" t="s">
        <v>1119</v>
      </c>
      <c r="U208" t="s">
        <v>1120</v>
      </c>
      <c r="V208" t="s">
        <v>1121</v>
      </c>
      <c r="W208">
        <v>-1.0457048081</v>
      </c>
      <c r="X208">
        <v>-80.658403674499993</v>
      </c>
      <c r="Y208">
        <v>0</v>
      </c>
      <c r="Z208">
        <f>+VLOOKUP(H208,Evalua!$G$2:$H$12,2,0)</f>
        <v>3</v>
      </c>
      <c r="AA208">
        <f>+VLOOKUP(I208,Evalua!$G$2:$H$12,2,0)</f>
        <v>3</v>
      </c>
    </row>
    <row r="209" spans="1:27" x14ac:dyDescent="0.2">
      <c r="A209" s="1" t="s">
        <v>1122</v>
      </c>
      <c r="B209" t="s">
        <v>1067</v>
      </c>
      <c r="C209" t="s">
        <v>98</v>
      </c>
      <c r="D209" t="s">
        <v>153</v>
      </c>
      <c r="E209" t="s">
        <v>26</v>
      </c>
      <c r="F209" t="s">
        <v>99</v>
      </c>
      <c r="G209" t="s">
        <v>46</v>
      </c>
      <c r="H209" t="s">
        <v>28</v>
      </c>
      <c r="I209" t="s">
        <v>29</v>
      </c>
      <c r="J209" t="str">
        <f>+VLOOKUP(A209,[1]Buscador!$B:$E,4,0)</f>
        <v>Guayaquil</v>
      </c>
      <c r="K209" t="str">
        <f>+VLOOKUP(A209,[1]Buscador!$B:$F,5,0)</f>
        <v>Guayas</v>
      </c>
      <c r="L209" t="s">
        <v>153</v>
      </c>
      <c r="O209" t="s">
        <v>32</v>
      </c>
      <c r="P209" t="s">
        <v>33</v>
      </c>
      <c r="Q209" t="s">
        <v>1067</v>
      </c>
      <c r="R209" t="s">
        <v>153</v>
      </c>
      <c r="S209" t="s">
        <v>1123</v>
      </c>
      <c r="T209" t="s">
        <v>1124</v>
      </c>
      <c r="U209" t="s">
        <v>1125</v>
      </c>
      <c r="V209" t="s">
        <v>1126</v>
      </c>
      <c r="W209">
        <v>-2.0847648663</v>
      </c>
      <c r="X209">
        <v>-79.920308066299995</v>
      </c>
      <c r="Y209">
        <v>0</v>
      </c>
      <c r="Z209">
        <f>+VLOOKUP(H209,Evalua!$G$2:$H$12,2,0)</f>
        <v>1</v>
      </c>
      <c r="AA209">
        <f>+VLOOKUP(I209,Evalua!$G$2:$H$12,2,0)</f>
        <v>2</v>
      </c>
    </row>
    <row r="210" spans="1:27" x14ac:dyDescent="0.2">
      <c r="A210" s="1" t="s">
        <v>1127</v>
      </c>
      <c r="B210" t="s">
        <v>1072</v>
      </c>
      <c r="C210" t="s">
        <v>98</v>
      </c>
      <c r="D210" t="s">
        <v>153</v>
      </c>
      <c r="E210" t="s">
        <v>26</v>
      </c>
      <c r="F210" t="s">
        <v>99</v>
      </c>
      <c r="G210" t="s">
        <v>46</v>
      </c>
      <c r="H210" t="s">
        <v>81</v>
      </c>
      <c r="I210" t="s">
        <v>29</v>
      </c>
      <c r="J210" t="str">
        <f>+VLOOKUP(A210,[1]Buscador!$B:$E,4,0)</f>
        <v>Guayaquil</v>
      </c>
      <c r="K210" t="str">
        <f>+VLOOKUP(A210,[1]Buscador!$B:$F,5,0)</f>
        <v>Guayas</v>
      </c>
      <c r="L210" t="s">
        <v>31</v>
      </c>
      <c r="O210" t="s">
        <v>82</v>
      </c>
      <c r="P210" t="s">
        <v>83</v>
      </c>
      <c r="Q210" t="s">
        <v>1072</v>
      </c>
      <c r="R210" t="s">
        <v>153</v>
      </c>
      <c r="S210" t="s">
        <v>1128</v>
      </c>
      <c r="T210" t="s">
        <v>1129</v>
      </c>
      <c r="U210" t="s">
        <v>1130</v>
      </c>
      <c r="V210" t="s">
        <v>1131</v>
      </c>
      <c r="W210">
        <v>-2.0684263198999999</v>
      </c>
      <c r="X210">
        <v>-79.933219747799996</v>
      </c>
      <c r="Y210">
        <v>0</v>
      </c>
      <c r="Z210">
        <f>+VLOOKUP(H210,Evalua!$G$2:$H$12,2,0)</f>
        <v>3</v>
      </c>
      <c r="AA210">
        <f>+VLOOKUP(I210,Evalua!$G$2:$H$12,2,0)</f>
        <v>2</v>
      </c>
    </row>
    <row r="211" spans="1:27" x14ac:dyDescent="0.2">
      <c r="A211" s="1" t="s">
        <v>1132</v>
      </c>
      <c r="B211" t="s">
        <v>1077</v>
      </c>
      <c r="C211" t="s">
        <v>98</v>
      </c>
      <c r="D211" t="s">
        <v>153</v>
      </c>
      <c r="E211" t="s">
        <v>26</v>
      </c>
      <c r="F211" t="s">
        <v>99</v>
      </c>
      <c r="G211" t="s">
        <v>46</v>
      </c>
      <c r="H211" t="s">
        <v>28</v>
      </c>
      <c r="I211" t="s">
        <v>29</v>
      </c>
      <c r="J211" t="str">
        <f>+VLOOKUP(A211,[1]Buscador!$B:$E,4,0)</f>
        <v>Guayaquil</v>
      </c>
      <c r="K211" t="str">
        <f>+VLOOKUP(A211,[1]Buscador!$B:$F,5,0)</f>
        <v>Guayas</v>
      </c>
      <c r="L211" t="s">
        <v>31</v>
      </c>
      <c r="O211" t="s">
        <v>32</v>
      </c>
      <c r="P211" t="s">
        <v>33</v>
      </c>
      <c r="Q211" t="s">
        <v>1077</v>
      </c>
      <c r="R211" t="s">
        <v>153</v>
      </c>
      <c r="S211" t="s">
        <v>1133</v>
      </c>
      <c r="T211" t="s">
        <v>1134</v>
      </c>
      <c r="U211" t="s">
        <v>1135</v>
      </c>
      <c r="V211" t="s">
        <v>1136</v>
      </c>
      <c r="W211">
        <v>-2.1977950000000002</v>
      </c>
      <c r="X211">
        <v>-79.933032999999995</v>
      </c>
      <c r="Y211">
        <v>0</v>
      </c>
      <c r="Z211">
        <f>+VLOOKUP(H211,Evalua!$G$2:$H$12,2,0)</f>
        <v>1</v>
      </c>
      <c r="AA211">
        <f>+VLOOKUP(I211,Evalua!$G$2:$H$12,2,0)</f>
        <v>2</v>
      </c>
    </row>
    <row r="212" spans="1:27" x14ac:dyDescent="0.2">
      <c r="A212" s="1" t="s">
        <v>1137</v>
      </c>
      <c r="B212" t="s">
        <v>1082</v>
      </c>
      <c r="C212" t="s">
        <v>98</v>
      </c>
      <c r="D212" t="s">
        <v>153</v>
      </c>
      <c r="E212" t="s">
        <v>26</v>
      </c>
      <c r="F212" t="s">
        <v>99</v>
      </c>
      <c r="G212" t="s">
        <v>46</v>
      </c>
      <c r="H212" t="s">
        <v>28</v>
      </c>
      <c r="I212" t="s">
        <v>29</v>
      </c>
      <c r="J212" t="str">
        <f>+VLOOKUP(A212,[1]Buscador!$B:$E,4,0)</f>
        <v>Posorja</v>
      </c>
      <c r="K212" t="str">
        <f>+VLOOKUP(A212,[1]Buscador!$B:$F,5,0)</f>
        <v>Guayas</v>
      </c>
      <c r="L212" t="s">
        <v>31</v>
      </c>
      <c r="O212" t="s">
        <v>32</v>
      </c>
      <c r="P212" t="s">
        <v>33</v>
      </c>
      <c r="Q212" t="s">
        <v>1082</v>
      </c>
      <c r="R212" t="s">
        <v>153</v>
      </c>
      <c r="S212" t="s">
        <v>1138</v>
      </c>
      <c r="T212" t="s">
        <v>1139</v>
      </c>
      <c r="U212" t="s">
        <v>1140</v>
      </c>
      <c r="V212" t="s">
        <v>1141</v>
      </c>
      <c r="W212">
        <v>-2.7103348371</v>
      </c>
      <c r="X212">
        <v>-80.245090981000004</v>
      </c>
      <c r="Y212">
        <v>0</v>
      </c>
      <c r="Z212">
        <f>+VLOOKUP(H212,Evalua!$G$2:$H$12,2,0)</f>
        <v>1</v>
      </c>
      <c r="AA212">
        <f>+VLOOKUP(I212,Evalua!$G$2:$H$12,2,0)</f>
        <v>2</v>
      </c>
    </row>
    <row r="213" spans="1:27" x14ac:dyDescent="0.2">
      <c r="A213" s="1" t="s">
        <v>1142</v>
      </c>
      <c r="B213" t="s">
        <v>1087</v>
      </c>
      <c r="C213" t="s">
        <v>98</v>
      </c>
      <c r="D213" t="s">
        <v>153</v>
      </c>
      <c r="E213" t="s">
        <v>26</v>
      </c>
      <c r="F213" t="s">
        <v>99</v>
      </c>
      <c r="G213" t="s">
        <v>27</v>
      </c>
      <c r="H213" t="s">
        <v>28</v>
      </c>
      <c r="I213" t="s">
        <v>29</v>
      </c>
      <c r="J213" t="str">
        <f>+VLOOKUP(A213,[1]Buscador!$B:$E,4,0)</f>
        <v>Quito</v>
      </c>
      <c r="K213" t="str">
        <f>+VLOOKUP(A213,[1]Buscador!$B:$F,5,0)</f>
        <v>Pichincha</v>
      </c>
      <c r="L213" t="s">
        <v>31</v>
      </c>
      <c r="O213" t="s">
        <v>32</v>
      </c>
      <c r="P213" t="s">
        <v>33</v>
      </c>
      <c r="Q213" t="s">
        <v>1087</v>
      </c>
      <c r="R213" t="s">
        <v>153</v>
      </c>
      <c r="S213" t="s">
        <v>1143</v>
      </c>
      <c r="T213" t="s">
        <v>1144</v>
      </c>
      <c r="U213" t="s">
        <v>1145</v>
      </c>
      <c r="V213" t="s">
        <v>1146</v>
      </c>
      <c r="W213">
        <v>-0.34606900950000002</v>
      </c>
      <c r="X213">
        <v>-78.437349838800003</v>
      </c>
      <c r="Y213">
        <v>0</v>
      </c>
      <c r="Z213">
        <f>+VLOOKUP(H213,Evalua!$G$2:$H$12,2,0)</f>
        <v>1</v>
      </c>
      <c r="AA213">
        <f>+VLOOKUP(I213,Evalua!$G$2:$H$12,2,0)</f>
        <v>2</v>
      </c>
    </row>
    <row r="214" spans="1:27" x14ac:dyDescent="0.2">
      <c r="A214" s="1" t="s">
        <v>1147</v>
      </c>
      <c r="B214" t="s">
        <v>1092</v>
      </c>
      <c r="C214" t="s">
        <v>98</v>
      </c>
      <c r="D214" t="s">
        <v>153</v>
      </c>
      <c r="E214" t="s">
        <v>26</v>
      </c>
      <c r="F214" t="s">
        <v>99</v>
      </c>
      <c r="G214" t="s">
        <v>46</v>
      </c>
      <c r="H214" t="s">
        <v>28</v>
      </c>
      <c r="I214" t="s">
        <v>29</v>
      </c>
      <c r="J214" t="str">
        <f>+VLOOKUP(A214,[1]Buscador!$B:$E,4,0)</f>
        <v>Santa Elena</v>
      </c>
      <c r="K214" t="str">
        <f>+VLOOKUP(A214,[1]Buscador!$B:$F,5,0)</f>
        <v>Santa Elena</v>
      </c>
      <c r="L214" t="s">
        <v>153</v>
      </c>
      <c r="O214" t="s">
        <v>32</v>
      </c>
      <c r="P214" t="s">
        <v>33</v>
      </c>
      <c r="Q214" t="s">
        <v>1092</v>
      </c>
      <c r="R214" t="s">
        <v>153</v>
      </c>
      <c r="S214" t="s">
        <v>1148</v>
      </c>
      <c r="T214" t="s">
        <v>1149</v>
      </c>
      <c r="U214" t="s">
        <v>1150</v>
      </c>
      <c r="V214" t="s">
        <v>1151</v>
      </c>
      <c r="W214">
        <v>-2.2264001623</v>
      </c>
      <c r="X214">
        <v>-80.858451644200002</v>
      </c>
      <c r="Y214">
        <v>0</v>
      </c>
      <c r="Z214">
        <f>+VLOOKUP(H214,Evalua!$G$2:$H$12,2,0)</f>
        <v>1</v>
      </c>
      <c r="AA214">
        <f>+VLOOKUP(I214,Evalua!$G$2:$H$12,2,0)</f>
        <v>2</v>
      </c>
    </row>
    <row r="215" spans="1:27" x14ac:dyDescent="0.2">
      <c r="A215" s="1" t="s">
        <v>1152</v>
      </c>
      <c r="B215" t="s">
        <v>1097</v>
      </c>
      <c r="C215" t="s">
        <v>98</v>
      </c>
      <c r="D215" t="s">
        <v>153</v>
      </c>
      <c r="E215" t="s">
        <v>26</v>
      </c>
      <c r="F215" t="s">
        <v>99</v>
      </c>
      <c r="G215" t="s">
        <v>27</v>
      </c>
      <c r="H215" t="s">
        <v>28</v>
      </c>
      <c r="I215" t="s">
        <v>29</v>
      </c>
      <c r="J215" t="str">
        <f>+VLOOKUP(A215,[1]Buscador!$B:$E,4,0)</f>
        <v>Quito</v>
      </c>
      <c r="K215" t="str">
        <f>+VLOOKUP(A215,[1]Buscador!$B:$F,5,0)</f>
        <v>Pichincha</v>
      </c>
      <c r="L215" t="s">
        <v>31</v>
      </c>
      <c r="O215" t="s">
        <v>32</v>
      </c>
      <c r="P215" t="s">
        <v>33</v>
      </c>
      <c r="Q215" t="s">
        <v>1097</v>
      </c>
      <c r="R215" t="s">
        <v>153</v>
      </c>
      <c r="S215" t="s">
        <v>1153</v>
      </c>
      <c r="T215" t="s">
        <v>1154</v>
      </c>
      <c r="U215" t="s">
        <v>1155</v>
      </c>
      <c r="V215" t="s">
        <v>1156</v>
      </c>
      <c r="W215">
        <v>-0.26793510549999999</v>
      </c>
      <c r="X215">
        <v>-78.538132240400003</v>
      </c>
      <c r="Y215">
        <v>0</v>
      </c>
      <c r="Z215">
        <f>+VLOOKUP(H215,Evalua!$G$2:$H$12,2,0)</f>
        <v>1</v>
      </c>
      <c r="AA215">
        <f>+VLOOKUP(I215,Evalua!$G$2:$H$12,2,0)</f>
        <v>2</v>
      </c>
    </row>
    <row r="216" spans="1:27" x14ac:dyDescent="0.2">
      <c r="A216" s="1" t="s">
        <v>1157</v>
      </c>
      <c r="B216" t="s">
        <v>1102</v>
      </c>
      <c r="C216" t="s">
        <v>98</v>
      </c>
      <c r="D216" t="s">
        <v>153</v>
      </c>
      <c r="E216" t="s">
        <v>26</v>
      </c>
      <c r="F216" t="s">
        <v>99</v>
      </c>
      <c r="G216" t="s">
        <v>27</v>
      </c>
      <c r="H216" t="s">
        <v>28</v>
      </c>
      <c r="I216" t="s">
        <v>29</v>
      </c>
      <c r="J216" t="str">
        <f>+VLOOKUP(A216,[1]Buscador!$B:$E,4,0)</f>
        <v>Quito</v>
      </c>
      <c r="K216" t="str">
        <f>+VLOOKUP(A216,[1]Buscador!$B:$F,5,0)</f>
        <v>Pichincha</v>
      </c>
      <c r="L216" t="s">
        <v>31</v>
      </c>
      <c r="O216" t="s">
        <v>32</v>
      </c>
      <c r="P216" t="s">
        <v>33</v>
      </c>
      <c r="Q216" t="s">
        <v>1102</v>
      </c>
      <c r="R216" t="s">
        <v>153</v>
      </c>
      <c r="S216" t="s">
        <v>1158</v>
      </c>
      <c r="T216" t="s">
        <v>1159</v>
      </c>
      <c r="U216" t="s">
        <v>1160</v>
      </c>
      <c r="V216" t="s">
        <v>1161</v>
      </c>
      <c r="W216">
        <v>-0.261019</v>
      </c>
      <c r="X216">
        <v>-78.545967000000005</v>
      </c>
      <c r="Y216">
        <v>0</v>
      </c>
      <c r="Z216">
        <f>+VLOOKUP(H216,Evalua!$G$2:$H$12,2,0)</f>
        <v>1</v>
      </c>
      <c r="AA216">
        <f>+VLOOKUP(I216,Evalua!$G$2:$H$12,2,0)</f>
        <v>2</v>
      </c>
    </row>
    <row r="217" spans="1:27" x14ac:dyDescent="0.2">
      <c r="A217" s="1" t="s">
        <v>1162</v>
      </c>
      <c r="B217" t="s">
        <v>1107</v>
      </c>
      <c r="C217" t="s">
        <v>98</v>
      </c>
      <c r="D217" t="s">
        <v>153</v>
      </c>
      <c r="E217" t="s">
        <v>26</v>
      </c>
      <c r="F217" t="s">
        <v>99</v>
      </c>
      <c r="G217" t="s">
        <v>46</v>
      </c>
      <c r="H217" t="s">
        <v>28</v>
      </c>
      <c r="I217" t="s">
        <v>29</v>
      </c>
      <c r="J217" t="str">
        <f>+VLOOKUP(A217,[1]Buscador!$B:$E,4,0)</f>
        <v>Guayaquil</v>
      </c>
      <c r="K217" t="str">
        <f>+VLOOKUP(A217,[1]Buscador!$B:$F,5,0)</f>
        <v>Guayas</v>
      </c>
      <c r="L217" t="s">
        <v>153</v>
      </c>
      <c r="O217" t="s">
        <v>32</v>
      </c>
      <c r="P217" t="s">
        <v>33</v>
      </c>
      <c r="Q217" t="s">
        <v>1107</v>
      </c>
      <c r="R217" t="s">
        <v>153</v>
      </c>
      <c r="S217" t="s">
        <v>1163</v>
      </c>
      <c r="T217" t="s">
        <v>1164</v>
      </c>
      <c r="U217" t="s">
        <v>1165</v>
      </c>
      <c r="V217" t="s">
        <v>1166</v>
      </c>
      <c r="W217">
        <v>-2.0919182196000001</v>
      </c>
      <c r="X217">
        <v>-79.903310958899993</v>
      </c>
      <c r="Y217">
        <v>0</v>
      </c>
      <c r="Z217">
        <f>+VLOOKUP(H217,Evalua!$G$2:$H$12,2,0)</f>
        <v>1</v>
      </c>
      <c r="AA217">
        <f>+VLOOKUP(I217,Evalua!$G$2:$H$12,2,0)</f>
        <v>2</v>
      </c>
    </row>
    <row r="218" spans="1:27" x14ac:dyDescent="0.2">
      <c r="A218" s="1" t="s">
        <v>1167</v>
      </c>
      <c r="B218" t="s">
        <v>1113</v>
      </c>
      <c r="C218" t="s">
        <v>98</v>
      </c>
      <c r="D218" t="s">
        <v>153</v>
      </c>
      <c r="E218" t="s">
        <v>26</v>
      </c>
      <c r="F218" t="s">
        <v>99</v>
      </c>
      <c r="G218" t="s">
        <v>27</v>
      </c>
      <c r="H218" t="s">
        <v>28</v>
      </c>
      <c r="I218" t="s">
        <v>160</v>
      </c>
      <c r="J218" t="str">
        <f>+VLOOKUP(A218,[1]Buscador!$B:$E,4,0)</f>
        <v>Baños de Agua Santa</v>
      </c>
      <c r="K218" t="str">
        <f>+VLOOKUP(A218,[1]Buscador!$B:$F,5,0)</f>
        <v>Tungurahua</v>
      </c>
      <c r="L218" t="s">
        <v>153</v>
      </c>
      <c r="O218" t="s">
        <v>162</v>
      </c>
      <c r="P218" t="s">
        <v>83</v>
      </c>
      <c r="Q218" t="s">
        <v>1113</v>
      </c>
      <c r="R218" t="s">
        <v>153</v>
      </c>
      <c r="S218" t="s">
        <v>1169</v>
      </c>
      <c r="T218" t="s">
        <v>1170</v>
      </c>
      <c r="U218" t="s">
        <v>1171</v>
      </c>
      <c r="V218" t="s">
        <v>1172</v>
      </c>
      <c r="W218">
        <v>-1.3954293086</v>
      </c>
      <c r="X218">
        <v>-78.423825275799999</v>
      </c>
      <c r="Y218">
        <v>0</v>
      </c>
      <c r="Z218">
        <f>+VLOOKUP(H218,Evalua!$G$2:$H$12,2,0)</f>
        <v>1</v>
      </c>
      <c r="AA218">
        <f>+VLOOKUP(I218,Evalua!$G$2:$H$12,2,0)</f>
        <v>3</v>
      </c>
    </row>
    <row r="219" spans="1:27" x14ac:dyDescent="0.2">
      <c r="A219" s="1" t="s">
        <v>1173</v>
      </c>
      <c r="B219" t="s">
        <v>1118</v>
      </c>
      <c r="C219" t="s">
        <v>98</v>
      </c>
      <c r="D219" t="s">
        <v>153</v>
      </c>
      <c r="E219" t="s">
        <v>26</v>
      </c>
      <c r="F219" t="s">
        <v>99</v>
      </c>
      <c r="G219" t="s">
        <v>46</v>
      </c>
      <c r="H219" t="s">
        <v>28</v>
      </c>
      <c r="I219" t="s">
        <v>29</v>
      </c>
      <c r="J219" t="str">
        <f>+VLOOKUP(A219,[1]Buscador!$B:$E,4,0)</f>
        <v>Guayaquil</v>
      </c>
      <c r="K219" t="str">
        <f>+VLOOKUP(A219,[1]Buscador!$B:$F,5,0)</f>
        <v>Guayas</v>
      </c>
      <c r="L219" t="s">
        <v>31</v>
      </c>
      <c r="O219" t="s">
        <v>32</v>
      </c>
      <c r="P219" t="s">
        <v>33</v>
      </c>
      <c r="Q219" t="s">
        <v>1118</v>
      </c>
      <c r="R219" t="s">
        <v>153</v>
      </c>
      <c r="S219" t="s">
        <v>568</v>
      </c>
      <c r="T219" t="s">
        <v>1175</v>
      </c>
      <c r="U219" t="s">
        <v>1176</v>
      </c>
      <c r="V219" t="s">
        <v>1177</v>
      </c>
      <c r="W219">
        <v>-2.2347009999999998</v>
      </c>
      <c r="X219">
        <v>-80.079533999999995</v>
      </c>
      <c r="Y219">
        <v>0</v>
      </c>
      <c r="Z219">
        <f>+VLOOKUP(H219,Evalua!$G$2:$H$12,2,0)</f>
        <v>1</v>
      </c>
      <c r="AA219">
        <f>+VLOOKUP(I219,Evalua!$G$2:$H$12,2,0)</f>
        <v>2</v>
      </c>
    </row>
    <row r="220" spans="1:27" x14ac:dyDescent="0.2">
      <c r="A220" s="1" t="s">
        <v>1178</v>
      </c>
      <c r="B220" t="s">
        <v>1123</v>
      </c>
      <c r="C220" t="s">
        <v>98</v>
      </c>
      <c r="D220" t="s">
        <v>153</v>
      </c>
      <c r="E220" t="s">
        <v>26</v>
      </c>
      <c r="F220" t="s">
        <v>99</v>
      </c>
      <c r="G220" t="s">
        <v>46</v>
      </c>
      <c r="H220" t="s">
        <v>28</v>
      </c>
      <c r="I220" t="s">
        <v>29</v>
      </c>
      <c r="J220" t="str">
        <f>+VLOOKUP(A220,[1]Buscador!$B:$E,4,0)</f>
        <v>Guayaquil</v>
      </c>
      <c r="K220" t="str">
        <f>+VLOOKUP(A220,[1]Buscador!$B:$F,5,0)</f>
        <v>Guayas</v>
      </c>
      <c r="L220" t="s">
        <v>153</v>
      </c>
      <c r="O220" t="s">
        <v>32</v>
      </c>
      <c r="P220" t="s">
        <v>33</v>
      </c>
      <c r="Q220" t="s">
        <v>1123</v>
      </c>
      <c r="R220" t="s">
        <v>153</v>
      </c>
      <c r="S220" t="s">
        <v>271</v>
      </c>
      <c r="T220" t="s">
        <v>1179</v>
      </c>
      <c r="U220" t="s">
        <v>1180</v>
      </c>
      <c r="V220" t="s">
        <v>1181</v>
      </c>
      <c r="W220">
        <v>-2.195605</v>
      </c>
      <c r="X220">
        <v>-79.887726000000001</v>
      </c>
      <c r="Y220">
        <v>0</v>
      </c>
      <c r="Z220">
        <f>+VLOOKUP(H220,Evalua!$G$2:$H$12,2,0)</f>
        <v>1</v>
      </c>
      <c r="AA220">
        <f>+VLOOKUP(I220,Evalua!$G$2:$H$12,2,0)</f>
        <v>2</v>
      </c>
    </row>
    <row r="221" spans="1:27" x14ac:dyDescent="0.2">
      <c r="A221" s="1" t="s">
        <v>1182</v>
      </c>
      <c r="B221" t="s">
        <v>1128</v>
      </c>
      <c r="C221" t="s">
        <v>98</v>
      </c>
      <c r="D221" t="s">
        <v>153</v>
      </c>
      <c r="E221" t="s">
        <v>26</v>
      </c>
      <c r="F221" t="s">
        <v>99</v>
      </c>
      <c r="G221" t="s">
        <v>46</v>
      </c>
      <c r="H221" t="s">
        <v>81</v>
      </c>
      <c r="I221" t="s">
        <v>160</v>
      </c>
      <c r="J221" t="str">
        <f>+VLOOKUP(A221,[1]Buscador!$B:$E,4,0)</f>
        <v>Durán</v>
      </c>
      <c r="K221" t="str">
        <f>+VLOOKUP(A221,[1]Buscador!$B:$F,5,0)</f>
        <v>Guayas</v>
      </c>
      <c r="L221" t="s">
        <v>153</v>
      </c>
      <c r="O221" t="s">
        <v>208</v>
      </c>
      <c r="P221" t="s">
        <v>126</v>
      </c>
      <c r="Q221" t="s">
        <v>1128</v>
      </c>
      <c r="R221" t="s">
        <v>153</v>
      </c>
      <c r="S221" t="s">
        <v>1183</v>
      </c>
      <c r="T221" t="s">
        <v>1184</v>
      </c>
      <c r="U221" t="s">
        <v>1185</v>
      </c>
      <c r="V221" t="s">
        <v>1186</v>
      </c>
      <c r="W221">
        <v>-2.1809080000000001</v>
      </c>
      <c r="X221">
        <v>-79.814325999999994</v>
      </c>
      <c r="Y221">
        <v>0</v>
      </c>
      <c r="Z221">
        <f>+VLOOKUP(H221,Evalua!$G$2:$H$12,2,0)</f>
        <v>3</v>
      </c>
      <c r="AA221">
        <f>+VLOOKUP(I221,Evalua!$G$2:$H$12,2,0)</f>
        <v>3</v>
      </c>
    </row>
    <row r="222" spans="1:27" x14ac:dyDescent="0.2">
      <c r="A222" s="1" t="s">
        <v>1187</v>
      </c>
      <c r="B222" t="s">
        <v>1133</v>
      </c>
      <c r="C222" t="s">
        <v>98</v>
      </c>
      <c r="D222" t="s">
        <v>153</v>
      </c>
      <c r="E222" t="s">
        <v>26</v>
      </c>
      <c r="F222" t="s">
        <v>99</v>
      </c>
      <c r="G222" t="s">
        <v>27</v>
      </c>
      <c r="H222" t="s">
        <v>28</v>
      </c>
      <c r="I222" t="s">
        <v>160</v>
      </c>
      <c r="J222" t="str">
        <f>+VLOOKUP(A222,[1]Buscador!$B:$E,4,0)</f>
        <v>Ambato</v>
      </c>
      <c r="K222" t="str">
        <f>+VLOOKUP(A222,[1]Buscador!$B:$F,5,0)</f>
        <v>Tungurahua</v>
      </c>
      <c r="L222" t="s">
        <v>153</v>
      </c>
      <c r="O222" t="s">
        <v>162</v>
      </c>
      <c r="P222" t="s">
        <v>83</v>
      </c>
      <c r="Q222" t="s">
        <v>1133</v>
      </c>
      <c r="R222" t="s">
        <v>153</v>
      </c>
      <c r="S222" t="s">
        <v>1188</v>
      </c>
      <c r="T222" t="s">
        <v>1189</v>
      </c>
      <c r="U222" t="s">
        <v>1190</v>
      </c>
      <c r="V222" t="s">
        <v>1191</v>
      </c>
      <c r="W222">
        <v>-1.2372873</v>
      </c>
      <c r="X222">
        <v>-78.6329715153</v>
      </c>
      <c r="Y222">
        <v>0</v>
      </c>
      <c r="Z222">
        <f>+VLOOKUP(H222,Evalua!$G$2:$H$12,2,0)</f>
        <v>1</v>
      </c>
      <c r="AA222">
        <f>+VLOOKUP(I222,Evalua!$G$2:$H$12,2,0)</f>
        <v>3</v>
      </c>
    </row>
    <row r="223" spans="1:27" x14ac:dyDescent="0.2">
      <c r="A223" s="1" t="s">
        <v>1192</v>
      </c>
      <c r="B223" t="s">
        <v>1138</v>
      </c>
      <c r="C223" t="s">
        <v>98</v>
      </c>
      <c r="D223" t="s">
        <v>153</v>
      </c>
      <c r="E223" t="s">
        <v>26</v>
      </c>
      <c r="F223" t="s">
        <v>99</v>
      </c>
      <c r="G223" t="s">
        <v>27</v>
      </c>
      <c r="H223" t="s">
        <v>28</v>
      </c>
      <c r="I223" t="s">
        <v>160</v>
      </c>
      <c r="J223" t="str">
        <f>+VLOOKUP(A223,[1]Buscador!$B:$E,4,0)</f>
        <v>San Antonio</v>
      </c>
      <c r="K223" t="str">
        <f>+VLOOKUP(A223,[1]Buscador!$B:$F,5,0)</f>
        <v>Pichincha</v>
      </c>
      <c r="L223" t="s">
        <v>153</v>
      </c>
      <c r="O223" t="s">
        <v>162</v>
      </c>
      <c r="P223" t="s">
        <v>83</v>
      </c>
      <c r="Q223" t="s">
        <v>1138</v>
      </c>
      <c r="R223" t="s">
        <v>153</v>
      </c>
      <c r="S223" t="s">
        <v>1193</v>
      </c>
      <c r="T223" t="s">
        <v>1194</v>
      </c>
      <c r="U223" t="s">
        <v>1195</v>
      </c>
      <c r="V223" t="s">
        <v>1196</v>
      </c>
      <c r="W223">
        <v>-8.0353171999999994E-3</v>
      </c>
      <c r="X223">
        <v>-78.447624978799993</v>
      </c>
      <c r="Y223">
        <v>0</v>
      </c>
      <c r="Z223">
        <f>+VLOOKUP(H223,Evalua!$G$2:$H$12,2,0)</f>
        <v>1</v>
      </c>
      <c r="AA223">
        <f>+VLOOKUP(I223,Evalua!$G$2:$H$12,2,0)</f>
        <v>3</v>
      </c>
    </row>
    <row r="224" spans="1:27" x14ac:dyDescent="0.2">
      <c r="A224" s="1" t="s">
        <v>1197</v>
      </c>
      <c r="B224" t="s">
        <v>1143</v>
      </c>
      <c r="C224" t="s">
        <v>98</v>
      </c>
      <c r="D224" t="s">
        <v>153</v>
      </c>
      <c r="E224" t="s">
        <v>26</v>
      </c>
      <c r="F224" t="s">
        <v>99</v>
      </c>
      <c r="G224" t="s">
        <v>170</v>
      </c>
      <c r="H224" t="s">
        <v>81</v>
      </c>
      <c r="I224" t="s">
        <v>29</v>
      </c>
      <c r="J224" t="str">
        <f>+VLOOKUP(A224,[1]Buscador!$B:$E,4,0)</f>
        <v>Portoviejo</v>
      </c>
      <c r="K224" t="str">
        <f>+VLOOKUP(A224,[1]Buscador!$B:$F,5,0)</f>
        <v>Manabí</v>
      </c>
      <c r="L224" t="s">
        <v>153</v>
      </c>
      <c r="O224" t="s">
        <v>82</v>
      </c>
      <c r="P224" t="s">
        <v>83</v>
      </c>
      <c r="Q224" t="s">
        <v>1143</v>
      </c>
      <c r="R224" t="s">
        <v>153</v>
      </c>
      <c r="S224" t="s">
        <v>1198</v>
      </c>
      <c r="T224" t="s">
        <v>1199</v>
      </c>
      <c r="U224" t="s">
        <v>1200</v>
      </c>
      <c r="V224" t="s">
        <v>1201</v>
      </c>
      <c r="W224">
        <v>-1.0422553136999999</v>
      </c>
      <c r="X224">
        <v>-80.468918452899999</v>
      </c>
      <c r="Y224">
        <v>0</v>
      </c>
      <c r="Z224">
        <f>+VLOOKUP(H224,Evalua!$G$2:$H$12,2,0)</f>
        <v>3</v>
      </c>
      <c r="AA224">
        <f>+VLOOKUP(I224,Evalua!$G$2:$H$12,2,0)</f>
        <v>2</v>
      </c>
    </row>
    <row r="225" spans="1:27" x14ac:dyDescent="0.2">
      <c r="A225" s="1" t="s">
        <v>1202</v>
      </c>
      <c r="B225" t="s">
        <v>1148</v>
      </c>
      <c r="C225" t="s">
        <v>98</v>
      </c>
      <c r="D225" t="s">
        <v>153</v>
      </c>
      <c r="E225" t="s">
        <v>26</v>
      </c>
      <c r="F225" t="s">
        <v>99</v>
      </c>
      <c r="G225" t="s">
        <v>46</v>
      </c>
      <c r="H225" t="s">
        <v>28</v>
      </c>
      <c r="I225" t="s">
        <v>29</v>
      </c>
      <c r="J225" t="str">
        <f>+VLOOKUP(A225,[1]Buscador!$B:$E,4,0)</f>
        <v>Samborondón</v>
      </c>
      <c r="K225" t="str">
        <f>+VLOOKUP(A225,[1]Buscador!$B:$F,5,0)</f>
        <v>Guayas</v>
      </c>
      <c r="L225" t="s">
        <v>31</v>
      </c>
      <c r="O225" t="s">
        <v>32</v>
      </c>
      <c r="P225" t="s">
        <v>33</v>
      </c>
      <c r="Q225" t="s">
        <v>1148</v>
      </c>
      <c r="R225" t="s">
        <v>153</v>
      </c>
      <c r="S225" t="s">
        <v>1203</v>
      </c>
      <c r="T225" t="s">
        <v>1204</v>
      </c>
      <c r="U225" t="s">
        <v>1205</v>
      </c>
      <c r="V225" t="s">
        <v>1206</v>
      </c>
      <c r="W225">
        <v>-2.1331494933999999</v>
      </c>
      <c r="X225">
        <v>-79.865817704799994</v>
      </c>
      <c r="Y225">
        <v>0</v>
      </c>
      <c r="Z225">
        <f>+VLOOKUP(H225,Evalua!$G$2:$H$12,2,0)</f>
        <v>1</v>
      </c>
      <c r="AA225">
        <f>+VLOOKUP(I225,Evalua!$G$2:$H$12,2,0)</f>
        <v>2</v>
      </c>
    </row>
    <row r="226" spans="1:27" x14ac:dyDescent="0.2">
      <c r="A226" s="1" t="s">
        <v>1207</v>
      </c>
      <c r="B226" t="s">
        <v>1153</v>
      </c>
      <c r="C226" t="s">
        <v>98</v>
      </c>
      <c r="D226" t="s">
        <v>153</v>
      </c>
      <c r="E226" t="s">
        <v>26</v>
      </c>
      <c r="F226" t="s">
        <v>99</v>
      </c>
      <c r="G226" t="s">
        <v>46</v>
      </c>
      <c r="H226" t="s">
        <v>28</v>
      </c>
      <c r="I226" t="s">
        <v>29</v>
      </c>
      <c r="J226" t="str">
        <f>+VLOOKUP(A226,[1]Buscador!$B:$E,4,0)</f>
        <v>Guayaquil</v>
      </c>
      <c r="K226" t="str">
        <f>+VLOOKUP(A226,[1]Buscador!$B:$F,5,0)</f>
        <v>Guayas</v>
      </c>
      <c r="L226" t="s">
        <v>31</v>
      </c>
      <c r="O226" t="s">
        <v>32</v>
      </c>
      <c r="P226" t="s">
        <v>33</v>
      </c>
      <c r="Q226" t="s">
        <v>1153</v>
      </c>
      <c r="R226" t="s">
        <v>153</v>
      </c>
      <c r="S226" t="s">
        <v>1208</v>
      </c>
      <c r="T226" t="s">
        <v>1209</v>
      </c>
      <c r="U226" t="s">
        <v>1210</v>
      </c>
      <c r="V226" t="s">
        <v>1211</v>
      </c>
      <c r="W226">
        <v>-2.1935762603</v>
      </c>
      <c r="X226">
        <v>-79.882873423899994</v>
      </c>
      <c r="Y226">
        <v>0</v>
      </c>
      <c r="Z226">
        <f>+VLOOKUP(H226,Evalua!$G$2:$H$12,2,0)</f>
        <v>1</v>
      </c>
      <c r="AA226">
        <f>+VLOOKUP(I226,Evalua!$G$2:$H$12,2,0)</f>
        <v>2</v>
      </c>
    </row>
    <row r="227" spans="1:27" x14ac:dyDescent="0.2">
      <c r="A227" s="1" t="s">
        <v>1212</v>
      </c>
      <c r="B227" t="s">
        <v>1158</v>
      </c>
      <c r="C227" t="s">
        <v>98</v>
      </c>
      <c r="D227" t="s">
        <v>153</v>
      </c>
      <c r="E227" t="s">
        <v>26</v>
      </c>
      <c r="F227" t="s">
        <v>99</v>
      </c>
      <c r="G227" t="s">
        <v>27</v>
      </c>
      <c r="H227" t="s">
        <v>28</v>
      </c>
      <c r="I227" t="s">
        <v>29</v>
      </c>
      <c r="J227" t="str">
        <f>+VLOOKUP(A227,[1]Buscador!$B:$E,4,0)</f>
        <v>Cumbaya</v>
      </c>
      <c r="K227" t="str">
        <f>+VLOOKUP(A227,[1]Buscador!$B:$F,5,0)</f>
        <v>Pichincha</v>
      </c>
      <c r="L227" t="s">
        <v>31</v>
      </c>
      <c r="O227" t="s">
        <v>32</v>
      </c>
      <c r="P227" t="s">
        <v>33</v>
      </c>
      <c r="Q227" t="s">
        <v>1158</v>
      </c>
      <c r="R227" t="s">
        <v>153</v>
      </c>
      <c r="S227" t="s">
        <v>1213</v>
      </c>
      <c r="T227" t="s">
        <v>1214</v>
      </c>
      <c r="U227" t="s">
        <v>1215</v>
      </c>
      <c r="V227" t="s">
        <v>1216</v>
      </c>
      <c r="W227">
        <v>-0.19676299999999999</v>
      </c>
      <c r="X227">
        <v>-78.435912999999999</v>
      </c>
      <c r="Y227">
        <v>0</v>
      </c>
      <c r="Z227">
        <f>+VLOOKUP(H227,Evalua!$G$2:$H$12,2,0)</f>
        <v>1</v>
      </c>
      <c r="AA227">
        <f>+VLOOKUP(I227,Evalua!$G$2:$H$12,2,0)</f>
        <v>2</v>
      </c>
    </row>
    <row r="228" spans="1:27" x14ac:dyDescent="0.2">
      <c r="A228" s="1" t="s">
        <v>1217</v>
      </c>
      <c r="B228" t="s">
        <v>1163</v>
      </c>
      <c r="C228" t="s">
        <v>98</v>
      </c>
      <c r="D228" t="s">
        <v>153</v>
      </c>
      <c r="E228" t="s">
        <v>26</v>
      </c>
      <c r="F228" t="s">
        <v>99</v>
      </c>
      <c r="G228" t="s">
        <v>159</v>
      </c>
      <c r="H228" t="s">
        <v>28</v>
      </c>
      <c r="I228" t="s">
        <v>29</v>
      </c>
      <c r="J228" t="str">
        <f>+VLOOKUP(A228,[1]Buscador!$B:$E,4,0)</f>
        <v>Cuenca</v>
      </c>
      <c r="K228" t="str">
        <f>+VLOOKUP(A228,[1]Buscador!$B:$F,5,0)</f>
        <v>Azuay</v>
      </c>
      <c r="L228" t="s">
        <v>31</v>
      </c>
      <c r="O228" t="s">
        <v>32</v>
      </c>
      <c r="P228" t="s">
        <v>33</v>
      </c>
      <c r="Q228" t="s">
        <v>1163</v>
      </c>
      <c r="R228" t="s">
        <v>153</v>
      </c>
      <c r="S228" t="s">
        <v>1218</v>
      </c>
      <c r="T228" t="s">
        <v>1219</v>
      </c>
      <c r="U228" t="s">
        <v>1220</v>
      </c>
      <c r="V228" t="s">
        <v>1221</v>
      </c>
      <c r="W228">
        <v>-2.8847833115000001</v>
      </c>
      <c r="X228">
        <v>-79.005802007300005</v>
      </c>
      <c r="Y228">
        <v>0</v>
      </c>
      <c r="Z228">
        <f>+VLOOKUP(H228,Evalua!$G$2:$H$12,2,0)</f>
        <v>1</v>
      </c>
      <c r="AA228">
        <f>+VLOOKUP(I228,Evalua!$G$2:$H$12,2,0)</f>
        <v>2</v>
      </c>
    </row>
    <row r="229" spans="1:27" x14ac:dyDescent="0.2">
      <c r="A229" s="1" t="s">
        <v>1222</v>
      </c>
      <c r="B229" t="s">
        <v>1169</v>
      </c>
      <c r="C229" t="s">
        <v>98</v>
      </c>
      <c r="D229" t="s">
        <v>153</v>
      </c>
      <c r="E229" t="s">
        <v>26</v>
      </c>
      <c r="F229" t="s">
        <v>99</v>
      </c>
      <c r="G229" t="s">
        <v>46</v>
      </c>
      <c r="H229" t="s">
        <v>28</v>
      </c>
      <c r="I229" t="s">
        <v>29</v>
      </c>
      <c r="J229" t="str">
        <f>+VLOOKUP(A229,[1]Buscador!$B:$E,4,0)</f>
        <v>Samborondón</v>
      </c>
      <c r="K229" t="str">
        <f>+VLOOKUP(A229,[1]Buscador!$B:$F,5,0)</f>
        <v>Guayas</v>
      </c>
      <c r="L229" t="s">
        <v>31</v>
      </c>
      <c r="O229" t="s">
        <v>32</v>
      </c>
      <c r="P229" t="s">
        <v>33</v>
      </c>
      <c r="Q229" t="s">
        <v>1169</v>
      </c>
      <c r="R229" t="s">
        <v>153</v>
      </c>
      <c r="S229" t="s">
        <v>161</v>
      </c>
      <c r="T229" t="s">
        <v>1223</v>
      </c>
      <c r="U229" t="s">
        <v>1224</v>
      </c>
      <c r="V229" t="s">
        <v>1225</v>
      </c>
      <c r="W229">
        <v>-2.1404320000000001</v>
      </c>
      <c r="X229">
        <v>-79.864389000000003</v>
      </c>
      <c r="Y229">
        <v>0</v>
      </c>
      <c r="Z229">
        <f>+VLOOKUP(H229,Evalua!$G$2:$H$12,2,0)</f>
        <v>1</v>
      </c>
      <c r="AA229">
        <f>+VLOOKUP(I229,Evalua!$G$2:$H$12,2,0)</f>
        <v>2</v>
      </c>
    </row>
    <row r="230" spans="1:27" x14ac:dyDescent="0.2">
      <c r="A230" s="1" t="s">
        <v>1226</v>
      </c>
      <c r="B230" t="s">
        <v>1227</v>
      </c>
      <c r="C230" t="s">
        <v>1228</v>
      </c>
      <c r="D230" t="s">
        <v>153</v>
      </c>
      <c r="E230" t="s">
        <v>26</v>
      </c>
      <c r="F230" t="s">
        <v>2</v>
      </c>
      <c r="G230" t="s">
        <v>159</v>
      </c>
      <c r="H230" t="s">
        <v>28</v>
      </c>
      <c r="I230" t="s">
        <v>29</v>
      </c>
      <c r="J230" t="str">
        <f>+VLOOKUP(A230,[1]Buscador!$B:$E,4,0)</f>
        <v>Azogues</v>
      </c>
      <c r="K230" t="str">
        <f>+VLOOKUP(A230,[1]Buscador!$B:$F,5,0)</f>
        <v>Cañar</v>
      </c>
      <c r="L230" t="s">
        <v>31</v>
      </c>
      <c r="O230" t="s">
        <v>32</v>
      </c>
      <c r="P230" t="s">
        <v>33</v>
      </c>
      <c r="Q230" t="s">
        <v>568</v>
      </c>
      <c r="R230" t="s">
        <v>153</v>
      </c>
      <c r="S230" t="s">
        <v>1229</v>
      </c>
      <c r="T230" t="s">
        <v>1230</v>
      </c>
      <c r="U230" t="s">
        <v>1231</v>
      </c>
      <c r="V230" t="s">
        <v>1232</v>
      </c>
      <c r="W230">
        <v>-2.7378502881000002</v>
      </c>
      <c r="X230">
        <v>-78.846438442600004</v>
      </c>
      <c r="Y230">
        <v>0</v>
      </c>
      <c r="Z230">
        <f>+VLOOKUP(H230,Evalua!$G$2:$H$12,2,0)</f>
        <v>1</v>
      </c>
      <c r="AA230">
        <f>+VLOOKUP(I230,Evalua!$G$2:$H$12,2,0)</f>
        <v>2</v>
      </c>
    </row>
    <row r="231" spans="1:27" x14ac:dyDescent="0.2">
      <c r="A231" s="1" t="s">
        <v>1233</v>
      </c>
      <c r="B231" t="s">
        <v>568</v>
      </c>
      <c r="C231" t="s">
        <v>568</v>
      </c>
      <c r="D231" t="s">
        <v>153</v>
      </c>
      <c r="E231" t="s">
        <v>26</v>
      </c>
      <c r="F231" t="s">
        <v>39</v>
      </c>
      <c r="G231" t="s">
        <v>159</v>
      </c>
      <c r="H231" t="s">
        <v>28</v>
      </c>
      <c r="I231" t="s">
        <v>29</v>
      </c>
      <c r="J231" t="str">
        <f>+VLOOKUP(A231,[1]Buscador!$B:$E,4,0)</f>
        <v>Azogues</v>
      </c>
      <c r="K231" t="str">
        <f>+VLOOKUP(A231,[1]Buscador!$B:$F,5,0)</f>
        <v>Cañar</v>
      </c>
      <c r="L231" t="s">
        <v>31</v>
      </c>
      <c r="M231">
        <v>20</v>
      </c>
      <c r="N231">
        <v>6.8</v>
      </c>
      <c r="O231" t="s">
        <v>32</v>
      </c>
      <c r="P231" t="s">
        <v>33</v>
      </c>
      <c r="Q231" t="s">
        <v>568</v>
      </c>
      <c r="R231" t="s">
        <v>153</v>
      </c>
      <c r="S231" t="s">
        <v>1234</v>
      </c>
      <c r="T231" t="s">
        <v>1235</v>
      </c>
      <c r="U231" t="s">
        <v>1236</v>
      </c>
      <c r="V231" t="s">
        <v>1232</v>
      </c>
      <c r="W231">
        <v>-2.7378502881000002</v>
      </c>
      <c r="X231">
        <v>-78.846438442600004</v>
      </c>
      <c r="Y231">
        <v>0</v>
      </c>
      <c r="Z231">
        <f>+VLOOKUP(H231,Evalua!$G$2:$H$12,2,0)</f>
        <v>1</v>
      </c>
      <c r="AA231">
        <f>+VLOOKUP(I231,Evalua!$G$2:$H$12,2,0)</f>
        <v>2</v>
      </c>
    </row>
    <row r="232" spans="1:27" x14ac:dyDescent="0.2">
      <c r="A232" s="1" t="s">
        <v>1237</v>
      </c>
      <c r="B232" t="s">
        <v>1238</v>
      </c>
      <c r="C232" t="s">
        <v>1239</v>
      </c>
      <c r="D232" t="s">
        <v>153</v>
      </c>
      <c r="E232" t="s">
        <v>26</v>
      </c>
      <c r="F232" t="s">
        <v>2</v>
      </c>
      <c r="G232" t="s">
        <v>183</v>
      </c>
      <c r="H232" t="s">
        <v>81</v>
      </c>
      <c r="I232" t="s">
        <v>160</v>
      </c>
      <c r="J232" t="str">
        <f>+VLOOKUP(A232,[1]Buscador!$B:$E,4,0)</f>
        <v>Babahoyo</v>
      </c>
      <c r="K232" t="str">
        <f>+VLOOKUP(A232,[1]Buscador!$B:$F,5,0)</f>
        <v>Los Ríos</v>
      </c>
      <c r="L232" t="s">
        <v>31</v>
      </c>
      <c r="O232" t="s">
        <v>208</v>
      </c>
      <c r="P232" t="s">
        <v>126</v>
      </c>
      <c r="Q232" t="s">
        <v>271</v>
      </c>
      <c r="R232" t="s">
        <v>153</v>
      </c>
      <c r="S232" t="s">
        <v>1240</v>
      </c>
      <c r="T232" t="s">
        <v>1241</v>
      </c>
      <c r="U232" t="s">
        <v>1242</v>
      </c>
      <c r="V232" t="s">
        <v>1243</v>
      </c>
      <c r="W232">
        <v>-1.8004036333</v>
      </c>
      <c r="X232">
        <v>-79.535966546699996</v>
      </c>
      <c r="Y232">
        <v>0</v>
      </c>
      <c r="Z232">
        <f>+VLOOKUP(H232,Evalua!$G$2:$H$12,2,0)</f>
        <v>3</v>
      </c>
      <c r="AA232">
        <f>+VLOOKUP(I232,Evalua!$G$2:$H$12,2,0)</f>
        <v>3</v>
      </c>
    </row>
    <row r="233" spans="1:27" x14ac:dyDescent="0.2">
      <c r="A233" s="1" t="s">
        <v>1244</v>
      </c>
      <c r="B233" t="s">
        <v>271</v>
      </c>
      <c r="C233" t="s">
        <v>271</v>
      </c>
      <c r="D233" t="s">
        <v>153</v>
      </c>
      <c r="E233" t="s">
        <v>26</v>
      </c>
      <c r="F233" t="s">
        <v>39</v>
      </c>
      <c r="G233" t="s">
        <v>183</v>
      </c>
      <c r="H233" t="s">
        <v>81</v>
      </c>
      <c r="I233" t="s">
        <v>160</v>
      </c>
      <c r="J233" t="str">
        <f>+VLOOKUP(A233,[1]Buscador!$B:$E,4,0)</f>
        <v>Babahoyo</v>
      </c>
      <c r="K233" t="str">
        <f>+VLOOKUP(A233,[1]Buscador!$B:$F,5,0)</f>
        <v>Los Ríos</v>
      </c>
      <c r="L233" t="s">
        <v>31</v>
      </c>
      <c r="M233">
        <v>30</v>
      </c>
      <c r="N233">
        <v>12.75</v>
      </c>
      <c r="O233" t="s">
        <v>208</v>
      </c>
      <c r="P233" t="s">
        <v>126</v>
      </c>
      <c r="Q233" t="s">
        <v>271</v>
      </c>
      <c r="R233" t="s">
        <v>153</v>
      </c>
      <c r="S233" t="s">
        <v>1245</v>
      </c>
      <c r="T233" t="s">
        <v>1246</v>
      </c>
      <c r="U233" t="s">
        <v>1247</v>
      </c>
      <c r="V233" t="s">
        <v>1243</v>
      </c>
      <c r="W233">
        <v>-1.8004036333</v>
      </c>
      <c r="X233">
        <v>-79.535966546699996</v>
      </c>
      <c r="Y233">
        <v>0</v>
      </c>
      <c r="Z233">
        <f>+VLOOKUP(H233,Evalua!$G$2:$H$12,2,0)</f>
        <v>3</v>
      </c>
      <c r="AA233">
        <f>+VLOOKUP(I233,Evalua!$G$2:$H$12,2,0)</f>
        <v>3</v>
      </c>
    </row>
    <row r="234" spans="1:27" x14ac:dyDescent="0.2">
      <c r="A234" s="1" t="s">
        <v>1248</v>
      </c>
      <c r="B234" t="s">
        <v>1249</v>
      </c>
      <c r="C234" t="s">
        <v>1250</v>
      </c>
      <c r="D234" t="s">
        <v>153</v>
      </c>
      <c r="E234" t="s">
        <v>26</v>
      </c>
      <c r="F234" t="s">
        <v>2</v>
      </c>
      <c r="G234" t="s">
        <v>183</v>
      </c>
      <c r="H234" t="s">
        <v>28</v>
      </c>
      <c r="I234" t="s">
        <v>160</v>
      </c>
      <c r="J234" t="str">
        <f>+VLOOKUP(A234,[1]Buscador!$B:$E,4,0)</f>
        <v>San Jacinto de Buena Fe</v>
      </c>
      <c r="K234" t="str">
        <f>+VLOOKUP(A234,[1]Buscador!$B:$F,5,0)</f>
        <v>Los Ríos</v>
      </c>
      <c r="L234" t="s">
        <v>31</v>
      </c>
      <c r="O234" t="s">
        <v>162</v>
      </c>
      <c r="P234" t="s">
        <v>83</v>
      </c>
      <c r="Q234" t="s">
        <v>1183</v>
      </c>
      <c r="R234" t="s">
        <v>153</v>
      </c>
      <c r="S234" t="s">
        <v>1251</v>
      </c>
      <c r="T234" t="s">
        <v>1252</v>
      </c>
      <c r="U234" t="s">
        <v>1253</v>
      </c>
      <c r="V234" t="s">
        <v>1254</v>
      </c>
      <c r="W234">
        <v>-0.89612508619999998</v>
      </c>
      <c r="X234">
        <v>-79.490255461999993</v>
      </c>
      <c r="Y234">
        <v>0</v>
      </c>
      <c r="Z234">
        <f>+VLOOKUP(H234,Evalua!$G$2:$H$12,2,0)</f>
        <v>1</v>
      </c>
      <c r="AA234">
        <f>+VLOOKUP(I234,Evalua!$G$2:$H$12,2,0)</f>
        <v>3</v>
      </c>
    </row>
    <row r="235" spans="1:27" x14ac:dyDescent="0.2">
      <c r="A235" s="1" t="s">
        <v>1255</v>
      </c>
      <c r="B235" t="s">
        <v>1183</v>
      </c>
      <c r="C235" t="s">
        <v>1183</v>
      </c>
      <c r="D235" t="s">
        <v>153</v>
      </c>
      <c r="E235" t="s">
        <v>26</v>
      </c>
      <c r="F235" t="s">
        <v>39</v>
      </c>
      <c r="G235" t="s">
        <v>183</v>
      </c>
      <c r="H235" t="s">
        <v>28</v>
      </c>
      <c r="I235" t="s">
        <v>160</v>
      </c>
      <c r="J235" t="str">
        <f>+VLOOKUP(A235,[1]Buscador!$B:$E,4,0)</f>
        <v>San Jacinto de Buena Fe</v>
      </c>
      <c r="K235" t="str">
        <f>+VLOOKUP(A235,[1]Buscador!$B:$F,5,0)</f>
        <v>Los Ríos</v>
      </c>
      <c r="L235" t="s">
        <v>31</v>
      </c>
      <c r="M235">
        <v>50</v>
      </c>
      <c r="N235">
        <v>17</v>
      </c>
      <c r="O235" t="s">
        <v>162</v>
      </c>
      <c r="P235" t="s">
        <v>83</v>
      </c>
      <c r="Q235" t="s">
        <v>1183</v>
      </c>
      <c r="R235" t="s">
        <v>153</v>
      </c>
      <c r="S235" t="s">
        <v>1256</v>
      </c>
      <c r="T235" t="s">
        <v>1257</v>
      </c>
      <c r="U235" t="s">
        <v>1258</v>
      </c>
      <c r="V235" t="s">
        <v>1254</v>
      </c>
      <c r="W235">
        <v>-0.89612508619999998</v>
      </c>
      <c r="X235">
        <v>-79.490255461999993</v>
      </c>
      <c r="Y235">
        <v>0</v>
      </c>
      <c r="Z235">
        <f>+VLOOKUP(H235,Evalua!$G$2:$H$12,2,0)</f>
        <v>1</v>
      </c>
      <c r="AA235">
        <f>+VLOOKUP(I235,Evalua!$G$2:$H$12,2,0)</f>
        <v>3</v>
      </c>
    </row>
    <row r="236" spans="1:27" x14ac:dyDescent="0.2">
      <c r="A236" s="1" t="s">
        <v>1259</v>
      </c>
      <c r="B236" t="s">
        <v>1260</v>
      </c>
      <c r="C236" t="s">
        <v>45</v>
      </c>
      <c r="D236" t="s">
        <v>153</v>
      </c>
      <c r="E236" t="s">
        <v>26</v>
      </c>
      <c r="F236" t="s">
        <v>2</v>
      </c>
      <c r="G236" t="s">
        <v>46</v>
      </c>
      <c r="H236" t="s">
        <v>28</v>
      </c>
      <c r="I236" t="s">
        <v>29</v>
      </c>
      <c r="J236" t="str">
        <f>+VLOOKUP(A236,[1]Buscador!$B:$E,4,0)</f>
        <v>Guayaquil</v>
      </c>
      <c r="K236" t="str">
        <f>+VLOOKUP(A236,[1]Buscador!$B:$F,5,0)</f>
        <v>Guayas</v>
      </c>
      <c r="L236" t="s">
        <v>153</v>
      </c>
      <c r="O236" t="s">
        <v>32</v>
      </c>
      <c r="P236" t="s">
        <v>33</v>
      </c>
      <c r="Q236" t="s">
        <v>1188</v>
      </c>
      <c r="R236" t="s">
        <v>153</v>
      </c>
      <c r="S236" t="s">
        <v>1261</v>
      </c>
      <c r="T236" t="s">
        <v>1262</v>
      </c>
      <c r="U236" t="s">
        <v>1263</v>
      </c>
      <c r="V236" t="s">
        <v>1264</v>
      </c>
      <c r="W236">
        <v>-2.1821773073999999</v>
      </c>
      <c r="X236">
        <v>-79.902534732500001</v>
      </c>
      <c r="Y236">
        <v>0</v>
      </c>
      <c r="Z236">
        <f>+VLOOKUP(H236,Evalua!$G$2:$H$12,2,0)</f>
        <v>1</v>
      </c>
      <c r="AA236">
        <f>+VLOOKUP(I236,Evalua!$G$2:$H$12,2,0)</f>
        <v>2</v>
      </c>
    </row>
    <row r="237" spans="1:27" x14ac:dyDescent="0.2">
      <c r="A237" s="1" t="s">
        <v>1265</v>
      </c>
      <c r="B237" t="s">
        <v>1188</v>
      </c>
      <c r="C237" t="s">
        <v>1188</v>
      </c>
      <c r="D237" t="s">
        <v>153</v>
      </c>
      <c r="E237" t="s">
        <v>26</v>
      </c>
      <c r="F237" t="s">
        <v>64</v>
      </c>
      <c r="G237" t="s">
        <v>46</v>
      </c>
      <c r="H237" t="s">
        <v>28</v>
      </c>
      <c r="I237" t="s">
        <v>29</v>
      </c>
      <c r="J237" t="str">
        <f>+VLOOKUP(A237,[1]Buscador!$B:$E,4,0)</f>
        <v>Guayaquil</v>
      </c>
      <c r="K237" t="str">
        <f>+VLOOKUP(A237,[1]Buscador!$B:$F,5,0)</f>
        <v>Guayas</v>
      </c>
      <c r="L237" t="s">
        <v>153</v>
      </c>
      <c r="O237" t="s">
        <v>32</v>
      </c>
      <c r="P237" t="s">
        <v>33</v>
      </c>
      <c r="Q237" t="s">
        <v>1188</v>
      </c>
      <c r="R237" t="s">
        <v>153</v>
      </c>
      <c r="S237" t="s">
        <v>1266</v>
      </c>
      <c r="T237" t="s">
        <v>1267</v>
      </c>
      <c r="U237" t="s">
        <v>1268</v>
      </c>
      <c r="V237" t="s">
        <v>1264</v>
      </c>
      <c r="W237">
        <v>-2.1821773073999999</v>
      </c>
      <c r="X237">
        <v>-79.902534732500001</v>
      </c>
      <c r="Y237">
        <v>0</v>
      </c>
      <c r="Z237">
        <f>+VLOOKUP(H237,Evalua!$G$2:$H$12,2,0)</f>
        <v>1</v>
      </c>
      <c r="AA237">
        <f>+VLOOKUP(I237,Evalua!$G$2:$H$12,2,0)</f>
        <v>2</v>
      </c>
    </row>
    <row r="238" spans="1:27" x14ac:dyDescent="0.2">
      <c r="A238" s="1" t="s">
        <v>1269</v>
      </c>
      <c r="B238" t="s">
        <v>1270</v>
      </c>
      <c r="C238" t="s">
        <v>1271</v>
      </c>
      <c r="D238" t="s">
        <v>153</v>
      </c>
      <c r="E238" t="s">
        <v>26</v>
      </c>
      <c r="F238" t="s">
        <v>2</v>
      </c>
      <c r="G238" t="s">
        <v>27</v>
      </c>
      <c r="H238" t="s">
        <v>28</v>
      </c>
      <c r="I238" t="s">
        <v>29</v>
      </c>
      <c r="J238" t="str">
        <f>+VLOOKUP(A238,[1]Buscador!$B:$E,4,0)</f>
        <v>Cumbaya</v>
      </c>
      <c r="K238" t="str">
        <f>+VLOOKUP(A238,[1]Buscador!$B:$F,5,0)</f>
        <v>Pichincha</v>
      </c>
      <c r="L238" t="s">
        <v>31</v>
      </c>
      <c r="O238" t="s">
        <v>32</v>
      </c>
      <c r="P238" t="s">
        <v>33</v>
      </c>
      <c r="Q238" t="s">
        <v>1193</v>
      </c>
      <c r="R238" t="s">
        <v>153</v>
      </c>
      <c r="S238" t="s">
        <v>1272</v>
      </c>
      <c r="T238" t="s">
        <v>1273</v>
      </c>
      <c r="U238" t="s">
        <v>1274</v>
      </c>
      <c r="V238" t="s">
        <v>1275</v>
      </c>
      <c r="W238">
        <v>-0.198908</v>
      </c>
      <c r="X238">
        <v>-78.436092000000002</v>
      </c>
      <c r="Y238">
        <v>0</v>
      </c>
      <c r="Z238">
        <f>+VLOOKUP(H238,Evalua!$G$2:$H$12,2,0)</f>
        <v>1</v>
      </c>
      <c r="AA238">
        <f>+VLOOKUP(I238,Evalua!$G$2:$H$12,2,0)</f>
        <v>2</v>
      </c>
    </row>
    <row r="239" spans="1:27" x14ac:dyDescent="0.2">
      <c r="A239" s="1" t="s">
        <v>1276</v>
      </c>
      <c r="B239" t="s">
        <v>1193</v>
      </c>
      <c r="C239" t="s">
        <v>1193</v>
      </c>
      <c r="D239" t="s">
        <v>153</v>
      </c>
      <c r="E239" t="s">
        <v>26</v>
      </c>
      <c r="F239" t="s">
        <v>39</v>
      </c>
      <c r="G239" t="s">
        <v>27</v>
      </c>
      <c r="H239" t="s">
        <v>28</v>
      </c>
      <c r="I239" t="s">
        <v>29</v>
      </c>
      <c r="J239" t="str">
        <f>+VLOOKUP(A239,[1]Buscador!$B:$E,4,0)</f>
        <v>Cumbaya</v>
      </c>
      <c r="K239" t="str">
        <f>+VLOOKUP(A239,[1]Buscador!$B:$F,5,0)</f>
        <v>Pichincha</v>
      </c>
      <c r="L239" t="s">
        <v>31</v>
      </c>
      <c r="O239" t="s">
        <v>32</v>
      </c>
      <c r="P239" t="s">
        <v>33</v>
      </c>
      <c r="Q239" t="s">
        <v>1193</v>
      </c>
      <c r="R239" t="s">
        <v>153</v>
      </c>
      <c r="S239" t="s">
        <v>1277</v>
      </c>
      <c r="T239" t="s">
        <v>1278</v>
      </c>
      <c r="U239" t="s">
        <v>1279</v>
      </c>
      <c r="V239" t="s">
        <v>1275</v>
      </c>
      <c r="W239">
        <v>-0.198908</v>
      </c>
      <c r="X239">
        <v>-78.436092000000002</v>
      </c>
      <c r="Y239">
        <v>0</v>
      </c>
      <c r="Z239">
        <f>+VLOOKUP(H239,Evalua!$G$2:$H$12,2,0)</f>
        <v>1</v>
      </c>
      <c r="AA239">
        <f>+VLOOKUP(I239,Evalua!$G$2:$H$12,2,0)</f>
        <v>2</v>
      </c>
    </row>
    <row r="240" spans="1:27" x14ac:dyDescent="0.2">
      <c r="A240" s="1" t="s">
        <v>1280</v>
      </c>
      <c r="B240" t="s">
        <v>1281</v>
      </c>
      <c r="C240" t="s">
        <v>1282</v>
      </c>
      <c r="D240" t="s">
        <v>153</v>
      </c>
      <c r="E240" t="s">
        <v>26</v>
      </c>
      <c r="F240" t="s">
        <v>2</v>
      </c>
      <c r="G240" t="s">
        <v>46</v>
      </c>
      <c r="H240" t="s">
        <v>28</v>
      </c>
      <c r="I240" t="s">
        <v>29</v>
      </c>
      <c r="J240" t="str">
        <f>+VLOOKUP(A240,[1]Buscador!$B:$E,4,0)</f>
        <v>Guayaquil</v>
      </c>
      <c r="K240" t="str">
        <f>+VLOOKUP(A240,[1]Buscador!$B:$F,5,0)</f>
        <v>Guayas</v>
      </c>
      <c r="L240" t="s">
        <v>153</v>
      </c>
      <c r="O240" t="s">
        <v>32</v>
      </c>
      <c r="P240" t="s">
        <v>33</v>
      </c>
      <c r="Q240" t="s">
        <v>1198</v>
      </c>
      <c r="R240" t="s">
        <v>153</v>
      </c>
      <c r="S240" t="s">
        <v>1283</v>
      </c>
      <c r="T240" t="s">
        <v>1284</v>
      </c>
      <c r="U240" t="s">
        <v>1285</v>
      </c>
      <c r="V240" t="s">
        <v>1286</v>
      </c>
      <c r="W240">
        <v>-2.1902053666999999</v>
      </c>
      <c r="X240">
        <v>-79.942694741099999</v>
      </c>
      <c r="Y240">
        <v>0</v>
      </c>
      <c r="Z240">
        <f>+VLOOKUP(H240,Evalua!$G$2:$H$12,2,0)</f>
        <v>1</v>
      </c>
      <c r="AA240">
        <f>+VLOOKUP(I240,Evalua!$G$2:$H$12,2,0)</f>
        <v>2</v>
      </c>
    </row>
    <row r="241" spans="1:27" x14ac:dyDescent="0.2">
      <c r="A241" s="1" t="s">
        <v>1287</v>
      </c>
      <c r="B241" t="s">
        <v>1198</v>
      </c>
      <c r="C241" t="s">
        <v>1198</v>
      </c>
      <c r="D241" t="s">
        <v>153</v>
      </c>
      <c r="E241" t="s">
        <v>26</v>
      </c>
      <c r="F241" t="s">
        <v>39</v>
      </c>
      <c r="G241" t="s">
        <v>46</v>
      </c>
      <c r="H241" t="s">
        <v>28</v>
      </c>
      <c r="I241" t="s">
        <v>29</v>
      </c>
      <c r="J241" t="str">
        <f>+VLOOKUP(A241,[1]Buscador!$B:$E,4,0)</f>
        <v>Guayaquil</v>
      </c>
      <c r="K241" t="str">
        <f>+VLOOKUP(A241,[1]Buscador!$B:$F,5,0)</f>
        <v>Guayas</v>
      </c>
      <c r="L241" t="s">
        <v>31</v>
      </c>
      <c r="O241" t="s">
        <v>32</v>
      </c>
      <c r="P241" t="s">
        <v>33</v>
      </c>
      <c r="Q241" t="s">
        <v>1198</v>
      </c>
      <c r="R241" t="s">
        <v>153</v>
      </c>
      <c r="S241" t="s">
        <v>1288</v>
      </c>
      <c r="T241" t="s">
        <v>1289</v>
      </c>
      <c r="U241" t="s">
        <v>1290</v>
      </c>
      <c r="V241" t="s">
        <v>1286</v>
      </c>
      <c r="W241">
        <v>-2.1902053666999999</v>
      </c>
      <c r="X241">
        <v>-79.942694741099999</v>
      </c>
      <c r="Y241">
        <v>0</v>
      </c>
      <c r="Z241">
        <f>+VLOOKUP(H241,Evalua!$G$2:$H$12,2,0)</f>
        <v>1</v>
      </c>
      <c r="AA241">
        <f>+VLOOKUP(I241,Evalua!$G$2:$H$12,2,0)</f>
        <v>2</v>
      </c>
    </row>
    <row r="242" spans="1:27" x14ac:dyDescent="0.2">
      <c r="A242" s="1" t="s">
        <v>1291</v>
      </c>
      <c r="B242" t="s">
        <v>1292</v>
      </c>
      <c r="C242" t="s">
        <v>1293</v>
      </c>
      <c r="D242" t="s">
        <v>153</v>
      </c>
      <c r="E242" t="s">
        <v>26</v>
      </c>
      <c r="F242" t="s">
        <v>2</v>
      </c>
      <c r="G242" t="s">
        <v>46</v>
      </c>
      <c r="H242" t="s">
        <v>28</v>
      </c>
      <c r="I242" t="s">
        <v>29</v>
      </c>
      <c r="J242" t="str">
        <f>+VLOOKUP(A242,[1]Buscador!$B:$E,4,0)</f>
        <v>Guayaquil</v>
      </c>
      <c r="K242" t="str">
        <f>+VLOOKUP(A242,[1]Buscador!$B:$F,5,0)</f>
        <v>Guayas</v>
      </c>
      <c r="L242" t="s">
        <v>153</v>
      </c>
      <c r="O242" t="s">
        <v>32</v>
      </c>
      <c r="P242" t="s">
        <v>33</v>
      </c>
      <c r="Q242" t="s">
        <v>1203</v>
      </c>
      <c r="R242" t="s">
        <v>153</v>
      </c>
      <c r="S242" t="s">
        <v>1294</v>
      </c>
      <c r="T242" t="s">
        <v>1295</v>
      </c>
      <c r="U242" t="s">
        <v>1296</v>
      </c>
      <c r="V242" t="s">
        <v>1297</v>
      </c>
      <c r="W242">
        <v>-2.2151156801999998</v>
      </c>
      <c r="X242">
        <v>-79.889049472400004</v>
      </c>
      <c r="Y242">
        <v>0</v>
      </c>
      <c r="Z242">
        <f>+VLOOKUP(H242,Evalua!$G$2:$H$12,2,0)</f>
        <v>1</v>
      </c>
      <c r="AA242">
        <f>+VLOOKUP(I242,Evalua!$G$2:$H$12,2,0)</f>
        <v>2</v>
      </c>
    </row>
    <row r="243" spans="1:27" x14ac:dyDescent="0.2">
      <c r="A243" s="1" t="s">
        <v>1298</v>
      </c>
      <c r="B243" t="s">
        <v>1299</v>
      </c>
      <c r="C243" t="s">
        <v>1293</v>
      </c>
      <c r="D243" t="s">
        <v>153</v>
      </c>
      <c r="E243" t="s">
        <v>26</v>
      </c>
      <c r="F243" t="s">
        <v>2</v>
      </c>
      <c r="G243" t="s">
        <v>46</v>
      </c>
      <c r="H243" t="s">
        <v>28</v>
      </c>
      <c r="I243" t="s">
        <v>29</v>
      </c>
      <c r="J243" t="str">
        <f>+VLOOKUP(A243,[1]Buscador!$B:$E,4,0)</f>
        <v>Guayaquil</v>
      </c>
      <c r="K243" t="str">
        <f>+VLOOKUP(A243,[1]Buscador!$B:$F,5,0)</f>
        <v>Guayas</v>
      </c>
      <c r="L243" t="s">
        <v>153</v>
      </c>
      <c r="O243" t="s">
        <v>32</v>
      </c>
      <c r="P243" t="s">
        <v>33</v>
      </c>
      <c r="Q243" t="s">
        <v>1203</v>
      </c>
      <c r="R243" t="s">
        <v>153</v>
      </c>
      <c r="S243" t="s">
        <v>1300</v>
      </c>
      <c r="T243" t="s">
        <v>1301</v>
      </c>
      <c r="U243" t="s">
        <v>1302</v>
      </c>
      <c r="V243" t="s">
        <v>1297</v>
      </c>
      <c r="W243">
        <v>-2.2151156801999998</v>
      </c>
      <c r="X243">
        <v>-79.889049472400004</v>
      </c>
      <c r="Y243">
        <v>0</v>
      </c>
      <c r="Z243">
        <f>+VLOOKUP(H243,Evalua!$G$2:$H$12,2,0)</f>
        <v>1</v>
      </c>
      <c r="AA243">
        <f>+VLOOKUP(I243,Evalua!$G$2:$H$12,2,0)</f>
        <v>2</v>
      </c>
    </row>
    <row r="244" spans="1:27" x14ac:dyDescent="0.2">
      <c r="A244" s="1" t="s">
        <v>1303</v>
      </c>
      <c r="B244" t="s">
        <v>1203</v>
      </c>
      <c r="C244" t="s">
        <v>1203</v>
      </c>
      <c r="D244" t="s">
        <v>153</v>
      </c>
      <c r="E244" t="s">
        <v>26</v>
      </c>
      <c r="F244" t="s">
        <v>39</v>
      </c>
      <c r="G244" t="s">
        <v>46</v>
      </c>
      <c r="H244" t="s">
        <v>28</v>
      </c>
      <c r="I244" t="s">
        <v>29</v>
      </c>
      <c r="J244" t="str">
        <f>+VLOOKUP(A244,[1]Buscador!$B:$E,4,0)</f>
        <v>Guayaquil</v>
      </c>
      <c r="K244" t="str">
        <f>+VLOOKUP(A244,[1]Buscador!$B:$F,5,0)</f>
        <v>Guayas</v>
      </c>
      <c r="L244" t="s">
        <v>153</v>
      </c>
      <c r="O244" t="s">
        <v>32</v>
      </c>
      <c r="P244" t="s">
        <v>33</v>
      </c>
      <c r="Q244" t="s">
        <v>1203</v>
      </c>
      <c r="R244" t="s">
        <v>153</v>
      </c>
      <c r="S244" t="s">
        <v>1304</v>
      </c>
      <c r="T244" t="s">
        <v>1305</v>
      </c>
      <c r="U244" t="s">
        <v>1306</v>
      </c>
      <c r="V244" t="s">
        <v>1297</v>
      </c>
      <c r="W244">
        <v>-2.2151156801999998</v>
      </c>
      <c r="X244">
        <v>-79.889049472400004</v>
      </c>
      <c r="Y244">
        <v>0</v>
      </c>
      <c r="Z244">
        <f>+VLOOKUP(H244,Evalua!$G$2:$H$12,2,0)</f>
        <v>1</v>
      </c>
      <c r="AA244">
        <f>+VLOOKUP(I244,Evalua!$G$2:$H$12,2,0)</f>
        <v>2</v>
      </c>
    </row>
    <row r="245" spans="1:27" x14ac:dyDescent="0.2">
      <c r="A245" s="1" t="s">
        <v>1307</v>
      </c>
      <c r="B245" t="s">
        <v>1308</v>
      </c>
      <c r="C245" t="s">
        <v>1309</v>
      </c>
      <c r="D245" t="s">
        <v>153</v>
      </c>
      <c r="E245" t="s">
        <v>26</v>
      </c>
      <c r="F245" t="s">
        <v>2</v>
      </c>
      <c r="G245" t="s">
        <v>46</v>
      </c>
      <c r="H245" t="s">
        <v>28</v>
      </c>
      <c r="I245" t="s">
        <v>29</v>
      </c>
      <c r="J245" t="str">
        <f>+VLOOKUP(A245,[1]Buscador!$B:$E,4,0)</f>
        <v>Guayaquil</v>
      </c>
      <c r="K245" t="str">
        <f>+VLOOKUP(A245,[1]Buscador!$B:$F,5,0)</f>
        <v>Guayas</v>
      </c>
      <c r="L245" t="s">
        <v>31</v>
      </c>
      <c r="O245" t="s">
        <v>32</v>
      </c>
      <c r="P245" t="s">
        <v>33</v>
      </c>
      <c r="Q245" t="s">
        <v>1208</v>
      </c>
      <c r="R245" t="s">
        <v>153</v>
      </c>
      <c r="S245" t="s">
        <v>1310</v>
      </c>
      <c r="T245" t="s">
        <v>1311</v>
      </c>
      <c r="U245" t="s">
        <v>1312</v>
      </c>
      <c r="V245" t="s">
        <v>1313</v>
      </c>
      <c r="W245">
        <v>-2.1901574203999998</v>
      </c>
      <c r="X245">
        <v>-79.879891601500006</v>
      </c>
      <c r="Y245">
        <v>0</v>
      </c>
      <c r="Z245">
        <f>+VLOOKUP(H245,Evalua!$G$2:$H$12,2,0)</f>
        <v>1</v>
      </c>
      <c r="AA245">
        <f>+VLOOKUP(I245,Evalua!$G$2:$H$12,2,0)</f>
        <v>2</v>
      </c>
    </row>
    <row r="246" spans="1:27" x14ac:dyDescent="0.2">
      <c r="A246" s="1" t="s">
        <v>1314</v>
      </c>
      <c r="B246" t="s">
        <v>1315</v>
      </c>
      <c r="C246" t="s">
        <v>1309</v>
      </c>
      <c r="D246" t="s">
        <v>153</v>
      </c>
      <c r="E246" t="s">
        <v>26</v>
      </c>
      <c r="F246" t="s">
        <v>2</v>
      </c>
      <c r="G246" t="s">
        <v>46</v>
      </c>
      <c r="H246" t="s">
        <v>28</v>
      </c>
      <c r="I246" t="s">
        <v>29</v>
      </c>
      <c r="J246" t="str">
        <f>+VLOOKUP(A246,[1]Buscador!$B:$E,4,0)</f>
        <v>Guayaquil</v>
      </c>
      <c r="K246" t="str">
        <f>+VLOOKUP(A246,[1]Buscador!$B:$F,5,0)</f>
        <v>Guayas</v>
      </c>
      <c r="L246" t="s">
        <v>31</v>
      </c>
      <c r="O246" t="s">
        <v>32</v>
      </c>
      <c r="P246" t="s">
        <v>33</v>
      </c>
      <c r="Q246" t="s">
        <v>1208</v>
      </c>
      <c r="R246" t="s">
        <v>153</v>
      </c>
      <c r="S246" t="s">
        <v>1316</v>
      </c>
      <c r="T246" t="s">
        <v>1317</v>
      </c>
      <c r="U246" t="s">
        <v>1318</v>
      </c>
      <c r="V246" t="s">
        <v>1313</v>
      </c>
      <c r="W246">
        <v>-2.1901574203999998</v>
      </c>
      <c r="X246">
        <v>-79.879891601500006</v>
      </c>
      <c r="Y246">
        <v>0</v>
      </c>
      <c r="Z246">
        <f>+VLOOKUP(H246,Evalua!$G$2:$H$12,2,0)</f>
        <v>1</v>
      </c>
      <c r="AA246">
        <f>+VLOOKUP(I246,Evalua!$G$2:$H$12,2,0)</f>
        <v>2</v>
      </c>
    </row>
    <row r="247" spans="1:27" x14ac:dyDescent="0.2">
      <c r="A247" s="1" t="s">
        <v>1319</v>
      </c>
      <c r="B247" t="s">
        <v>1320</v>
      </c>
      <c r="C247" t="s">
        <v>1309</v>
      </c>
      <c r="D247" t="s">
        <v>153</v>
      </c>
      <c r="E247" t="s">
        <v>26</v>
      </c>
      <c r="F247" t="s">
        <v>2</v>
      </c>
      <c r="G247" t="s">
        <v>46</v>
      </c>
      <c r="H247" t="s">
        <v>28</v>
      </c>
      <c r="I247" t="s">
        <v>29</v>
      </c>
      <c r="J247" t="str">
        <f>+VLOOKUP(A247,[1]Buscador!$B:$E,4,0)</f>
        <v>Guayaquil</v>
      </c>
      <c r="K247" t="str">
        <f>+VLOOKUP(A247,[1]Buscador!$B:$F,5,0)</f>
        <v>Guayas</v>
      </c>
      <c r="L247" t="s">
        <v>31</v>
      </c>
      <c r="O247" t="s">
        <v>32</v>
      </c>
      <c r="P247" t="s">
        <v>33</v>
      </c>
      <c r="Q247" t="s">
        <v>1208</v>
      </c>
      <c r="R247" t="s">
        <v>153</v>
      </c>
      <c r="S247" t="s">
        <v>1321</v>
      </c>
      <c r="T247" t="s">
        <v>1322</v>
      </c>
      <c r="U247" t="s">
        <v>1323</v>
      </c>
      <c r="V247" t="s">
        <v>1313</v>
      </c>
      <c r="W247">
        <v>-2.1901574203999998</v>
      </c>
      <c r="X247">
        <v>-79.879891601500006</v>
      </c>
      <c r="Y247">
        <v>0</v>
      </c>
      <c r="Z247">
        <f>+VLOOKUP(H247,Evalua!$G$2:$H$12,2,0)</f>
        <v>1</v>
      </c>
      <c r="AA247">
        <f>+VLOOKUP(I247,Evalua!$G$2:$H$12,2,0)</f>
        <v>2</v>
      </c>
    </row>
    <row r="248" spans="1:27" x14ac:dyDescent="0.2">
      <c r="A248" s="1" t="s">
        <v>1324</v>
      </c>
      <c r="B248" t="s">
        <v>1325</v>
      </c>
      <c r="C248" t="s">
        <v>1309</v>
      </c>
      <c r="D248" t="s">
        <v>153</v>
      </c>
      <c r="E248" t="s">
        <v>26</v>
      </c>
      <c r="F248" t="s">
        <v>2</v>
      </c>
      <c r="G248" t="s">
        <v>46</v>
      </c>
      <c r="H248" t="s">
        <v>28</v>
      </c>
      <c r="I248" t="s">
        <v>29</v>
      </c>
      <c r="J248" t="str">
        <f>+VLOOKUP(A248,[1]Buscador!$B:$E,4,0)</f>
        <v>Guayaquil</v>
      </c>
      <c r="K248" t="str">
        <f>+VLOOKUP(A248,[1]Buscador!$B:$F,5,0)</f>
        <v>Guayas</v>
      </c>
      <c r="L248" t="s">
        <v>31</v>
      </c>
      <c r="O248" t="s">
        <v>32</v>
      </c>
      <c r="P248" t="s">
        <v>33</v>
      </c>
      <c r="Q248" t="s">
        <v>1208</v>
      </c>
      <c r="R248" t="s">
        <v>153</v>
      </c>
      <c r="S248" t="s">
        <v>1326</v>
      </c>
      <c r="T248" t="s">
        <v>1327</v>
      </c>
      <c r="U248" t="s">
        <v>1328</v>
      </c>
      <c r="V248" t="s">
        <v>1313</v>
      </c>
      <c r="W248">
        <v>-2.1901574203999998</v>
      </c>
      <c r="X248">
        <v>-79.879891601500006</v>
      </c>
      <c r="Y248">
        <v>0</v>
      </c>
      <c r="Z248">
        <f>+VLOOKUP(H248,Evalua!$G$2:$H$12,2,0)</f>
        <v>1</v>
      </c>
      <c r="AA248">
        <f>+VLOOKUP(I248,Evalua!$G$2:$H$12,2,0)</f>
        <v>2</v>
      </c>
    </row>
    <row r="249" spans="1:27" x14ac:dyDescent="0.2">
      <c r="A249" s="1" t="s">
        <v>1329</v>
      </c>
      <c r="B249" t="s">
        <v>1330</v>
      </c>
      <c r="C249" t="s">
        <v>1309</v>
      </c>
      <c r="D249" t="s">
        <v>153</v>
      </c>
      <c r="E249" t="s">
        <v>26</v>
      </c>
      <c r="F249" t="s">
        <v>2</v>
      </c>
      <c r="G249" t="s">
        <v>46</v>
      </c>
      <c r="H249" t="s">
        <v>28</v>
      </c>
      <c r="I249" t="s">
        <v>29</v>
      </c>
      <c r="J249" t="str">
        <f>+VLOOKUP(A249,[1]Buscador!$B:$E,4,0)</f>
        <v>Guayaquil</v>
      </c>
      <c r="K249" t="str">
        <f>+VLOOKUP(A249,[1]Buscador!$B:$F,5,0)</f>
        <v>Guayas</v>
      </c>
      <c r="L249" t="s">
        <v>31</v>
      </c>
      <c r="O249" t="s">
        <v>32</v>
      </c>
      <c r="P249" t="s">
        <v>33</v>
      </c>
      <c r="Q249" t="s">
        <v>1208</v>
      </c>
      <c r="R249" t="s">
        <v>153</v>
      </c>
      <c r="S249" t="s">
        <v>1331</v>
      </c>
      <c r="T249" t="s">
        <v>1332</v>
      </c>
      <c r="U249" t="s">
        <v>1333</v>
      </c>
      <c r="V249" t="s">
        <v>1313</v>
      </c>
      <c r="W249">
        <v>-2.1901574203999998</v>
      </c>
      <c r="X249">
        <v>-79.879891601500006</v>
      </c>
      <c r="Y249">
        <v>0</v>
      </c>
      <c r="Z249">
        <f>+VLOOKUP(H249,Evalua!$G$2:$H$12,2,0)</f>
        <v>1</v>
      </c>
      <c r="AA249">
        <f>+VLOOKUP(I249,Evalua!$G$2:$H$12,2,0)</f>
        <v>2</v>
      </c>
    </row>
    <row r="250" spans="1:27" x14ac:dyDescent="0.2">
      <c r="A250" s="1" t="s">
        <v>1334</v>
      </c>
      <c r="B250" t="s">
        <v>1335</v>
      </c>
      <c r="C250" t="s">
        <v>1309</v>
      </c>
      <c r="D250" t="s">
        <v>153</v>
      </c>
      <c r="E250" t="s">
        <v>26</v>
      </c>
      <c r="F250" t="s">
        <v>2</v>
      </c>
      <c r="G250" t="s">
        <v>46</v>
      </c>
      <c r="H250" t="s">
        <v>28</v>
      </c>
      <c r="I250" t="s">
        <v>29</v>
      </c>
      <c r="J250" t="str">
        <f>+VLOOKUP(A250,[1]Buscador!$B:$E,4,0)</f>
        <v>Guayaquil</v>
      </c>
      <c r="K250" t="str">
        <f>+VLOOKUP(A250,[1]Buscador!$B:$F,5,0)</f>
        <v>Guayas</v>
      </c>
      <c r="L250" t="s">
        <v>31</v>
      </c>
      <c r="O250" t="s">
        <v>32</v>
      </c>
      <c r="P250" t="s">
        <v>33</v>
      </c>
      <c r="Q250" t="s">
        <v>1208</v>
      </c>
      <c r="R250" t="s">
        <v>153</v>
      </c>
      <c r="S250" t="s">
        <v>1336</v>
      </c>
      <c r="T250" t="s">
        <v>1337</v>
      </c>
      <c r="U250" t="s">
        <v>1338</v>
      </c>
      <c r="V250" t="s">
        <v>1313</v>
      </c>
      <c r="W250">
        <v>-2.1901574203999998</v>
      </c>
      <c r="X250">
        <v>-79.879891601500006</v>
      </c>
      <c r="Y250">
        <v>0</v>
      </c>
      <c r="Z250">
        <f>+VLOOKUP(H250,Evalua!$G$2:$H$12,2,0)</f>
        <v>1</v>
      </c>
      <c r="AA250">
        <f>+VLOOKUP(I250,Evalua!$G$2:$H$12,2,0)</f>
        <v>2</v>
      </c>
    </row>
    <row r="251" spans="1:27" x14ac:dyDescent="0.2">
      <c r="A251" s="1" t="s">
        <v>1339</v>
      </c>
      <c r="B251" t="s">
        <v>1208</v>
      </c>
      <c r="C251" t="s">
        <v>1208</v>
      </c>
      <c r="D251" t="s">
        <v>153</v>
      </c>
      <c r="E251" t="s">
        <v>26</v>
      </c>
      <c r="F251" t="s">
        <v>64</v>
      </c>
      <c r="G251" t="s">
        <v>46</v>
      </c>
      <c r="H251" t="s">
        <v>28</v>
      </c>
      <c r="I251" t="s">
        <v>29</v>
      </c>
      <c r="J251" t="str">
        <f>+VLOOKUP(A251,[1]Buscador!$B:$E,4,0)</f>
        <v>Guayaquil</v>
      </c>
      <c r="K251" t="str">
        <f>+VLOOKUP(A251,[1]Buscador!$B:$F,5,0)</f>
        <v>Guayas</v>
      </c>
      <c r="L251" t="s">
        <v>31</v>
      </c>
      <c r="O251" t="s">
        <v>32</v>
      </c>
      <c r="P251" t="s">
        <v>33</v>
      </c>
      <c r="Q251" t="s">
        <v>1208</v>
      </c>
      <c r="R251" t="s">
        <v>153</v>
      </c>
      <c r="S251" t="s">
        <v>207</v>
      </c>
      <c r="T251" t="s">
        <v>1340</v>
      </c>
      <c r="U251" t="s">
        <v>1341</v>
      </c>
      <c r="V251" t="s">
        <v>1313</v>
      </c>
      <c r="W251">
        <v>-2.1901574203999998</v>
      </c>
      <c r="X251">
        <v>-79.879891601500006</v>
      </c>
      <c r="Y251">
        <v>0</v>
      </c>
      <c r="Z251">
        <f>+VLOOKUP(H251,Evalua!$G$2:$H$12,2,0)</f>
        <v>1</v>
      </c>
      <c r="AA251">
        <f>+VLOOKUP(I251,Evalua!$G$2:$H$12,2,0)</f>
        <v>2</v>
      </c>
    </row>
    <row r="252" spans="1:27" x14ac:dyDescent="0.2">
      <c r="A252" s="1" t="s">
        <v>1342</v>
      </c>
      <c r="B252" t="s">
        <v>1343</v>
      </c>
      <c r="C252" t="s">
        <v>1344</v>
      </c>
      <c r="D252" t="s">
        <v>153</v>
      </c>
      <c r="E252" t="s">
        <v>26</v>
      </c>
      <c r="F252" t="s">
        <v>2</v>
      </c>
      <c r="G252" t="s">
        <v>46</v>
      </c>
      <c r="H252" t="s">
        <v>28</v>
      </c>
      <c r="I252" t="s">
        <v>29</v>
      </c>
      <c r="J252" t="str">
        <f>+VLOOKUP(A252,[1]Buscador!$B:$E,4,0)</f>
        <v>Guayaquil</v>
      </c>
      <c r="K252" t="str">
        <f>+VLOOKUP(A252,[1]Buscador!$B:$F,5,0)</f>
        <v>Guayas</v>
      </c>
      <c r="L252" t="s">
        <v>153</v>
      </c>
      <c r="O252" t="s">
        <v>32</v>
      </c>
      <c r="P252" t="s">
        <v>33</v>
      </c>
      <c r="Q252" t="s">
        <v>1213</v>
      </c>
      <c r="R252" t="s">
        <v>153</v>
      </c>
      <c r="S252" t="s">
        <v>1345</v>
      </c>
      <c r="T252" t="s">
        <v>1346</v>
      </c>
      <c r="U252" t="s">
        <v>1347</v>
      </c>
      <c r="V252" t="s">
        <v>1348</v>
      </c>
      <c r="W252">
        <v>-2.1502941296999998</v>
      </c>
      <c r="X252">
        <v>-79.906397733199995</v>
      </c>
      <c r="Y252">
        <v>0</v>
      </c>
      <c r="Z252">
        <f>+VLOOKUP(H252,Evalua!$G$2:$H$12,2,0)</f>
        <v>1</v>
      </c>
      <c r="AA252">
        <f>+VLOOKUP(I252,Evalua!$G$2:$H$12,2,0)</f>
        <v>2</v>
      </c>
    </row>
    <row r="253" spans="1:27" x14ac:dyDescent="0.2">
      <c r="A253" s="1" t="s">
        <v>1349</v>
      </c>
      <c r="B253" t="s">
        <v>1213</v>
      </c>
      <c r="C253" t="s">
        <v>1213</v>
      </c>
      <c r="D253" t="s">
        <v>153</v>
      </c>
      <c r="E253" t="s">
        <v>26</v>
      </c>
      <c r="F253" t="s">
        <v>64</v>
      </c>
      <c r="G253" t="s">
        <v>46</v>
      </c>
      <c r="H253" t="s">
        <v>28</v>
      </c>
      <c r="I253" t="s">
        <v>29</v>
      </c>
      <c r="J253" t="str">
        <f>+VLOOKUP(A253,[1]Buscador!$B:$E,4,0)</f>
        <v>Guayaquil</v>
      </c>
      <c r="K253" t="str">
        <f>+VLOOKUP(A253,[1]Buscador!$B:$F,5,0)</f>
        <v>Guayas</v>
      </c>
      <c r="L253" t="s">
        <v>31</v>
      </c>
      <c r="O253" t="s">
        <v>32</v>
      </c>
      <c r="P253" t="s">
        <v>33</v>
      </c>
      <c r="Q253" t="s">
        <v>1213</v>
      </c>
      <c r="R253" t="s">
        <v>153</v>
      </c>
      <c r="S253" t="s">
        <v>1350</v>
      </c>
      <c r="T253" t="s">
        <v>1351</v>
      </c>
      <c r="U253" t="s">
        <v>1352</v>
      </c>
      <c r="V253" t="s">
        <v>1348</v>
      </c>
      <c r="W253">
        <v>-2.1502941296999998</v>
      </c>
      <c r="X253">
        <v>-79.906397733199995</v>
      </c>
      <c r="Y253">
        <v>0</v>
      </c>
      <c r="Z253">
        <f>+VLOOKUP(H253,Evalua!$G$2:$H$12,2,0)</f>
        <v>1</v>
      </c>
      <c r="AA253">
        <f>+VLOOKUP(I253,Evalua!$G$2:$H$12,2,0)</f>
        <v>2</v>
      </c>
    </row>
    <row r="254" spans="1:27" x14ac:dyDescent="0.2">
      <c r="A254" s="1" t="s">
        <v>1353</v>
      </c>
      <c r="B254" t="s">
        <v>1354</v>
      </c>
      <c r="C254" t="s">
        <v>1218</v>
      </c>
      <c r="D254" t="s">
        <v>153</v>
      </c>
      <c r="E254" t="s">
        <v>26</v>
      </c>
      <c r="F254" t="s">
        <v>2</v>
      </c>
      <c r="G254" t="s">
        <v>27</v>
      </c>
      <c r="H254" t="s">
        <v>28</v>
      </c>
      <c r="I254" t="s">
        <v>29</v>
      </c>
      <c r="J254" t="str">
        <f>+VLOOKUP(A254,[1]Buscador!$B:$E,4,0)</f>
        <v>El Condado</v>
      </c>
      <c r="K254" t="str">
        <f>+VLOOKUP(A254,[1]Buscador!$B:$F,5,0)</f>
        <v>Pichincha</v>
      </c>
      <c r="L254" t="s">
        <v>31</v>
      </c>
      <c r="O254" t="s">
        <v>32</v>
      </c>
      <c r="P254" t="s">
        <v>33</v>
      </c>
      <c r="Q254" t="s">
        <v>1218</v>
      </c>
      <c r="R254" t="s">
        <v>153</v>
      </c>
      <c r="S254" t="s">
        <v>1355</v>
      </c>
      <c r="T254" t="s">
        <v>1356</v>
      </c>
      <c r="U254" t="s">
        <v>1357</v>
      </c>
      <c r="V254" t="s">
        <v>1358</v>
      </c>
      <c r="W254">
        <v>-0.1038586388</v>
      </c>
      <c r="X254">
        <v>-78.490326716400006</v>
      </c>
      <c r="Y254">
        <v>0</v>
      </c>
      <c r="Z254">
        <f>+VLOOKUP(H254,Evalua!$G$2:$H$12,2,0)</f>
        <v>1</v>
      </c>
      <c r="AA254">
        <f>+VLOOKUP(I254,Evalua!$G$2:$H$12,2,0)</f>
        <v>2</v>
      </c>
    </row>
    <row r="255" spans="1:27" x14ac:dyDescent="0.2">
      <c r="A255" s="1" t="s">
        <v>1359</v>
      </c>
      <c r="B255" t="s">
        <v>1218</v>
      </c>
      <c r="C255" t="s">
        <v>1218</v>
      </c>
      <c r="D255" t="s">
        <v>153</v>
      </c>
      <c r="E255" t="s">
        <v>26</v>
      </c>
      <c r="F255" t="s">
        <v>39</v>
      </c>
      <c r="G255" t="s">
        <v>27</v>
      </c>
      <c r="H255" t="s">
        <v>28</v>
      </c>
      <c r="I255" t="s">
        <v>29</v>
      </c>
      <c r="J255" t="str">
        <f>+VLOOKUP(A255,[1]Buscador!$B:$E,4,0)</f>
        <v>El Condado</v>
      </c>
      <c r="K255" t="str">
        <f>+VLOOKUP(A255,[1]Buscador!$B:$F,5,0)</f>
        <v>Pichincha</v>
      </c>
      <c r="L255" t="s">
        <v>31</v>
      </c>
      <c r="O255" t="s">
        <v>32</v>
      </c>
      <c r="P255" t="s">
        <v>33</v>
      </c>
      <c r="Q255" t="s">
        <v>1218</v>
      </c>
      <c r="R255" t="s">
        <v>153</v>
      </c>
      <c r="S255" t="s">
        <v>1360</v>
      </c>
      <c r="T255" t="s">
        <v>1361</v>
      </c>
      <c r="U255" t="s">
        <v>1362</v>
      </c>
      <c r="V255" t="s">
        <v>1358</v>
      </c>
      <c r="W255">
        <v>-0.1038586388</v>
      </c>
      <c r="X255">
        <v>-78.490326716400006</v>
      </c>
      <c r="Y255">
        <v>0</v>
      </c>
      <c r="Z255">
        <f>+VLOOKUP(H255,Evalua!$G$2:$H$12,2,0)</f>
        <v>1</v>
      </c>
      <c r="AA255">
        <f>+VLOOKUP(I255,Evalua!$G$2:$H$12,2,0)</f>
        <v>2</v>
      </c>
    </row>
    <row r="256" spans="1:27" x14ac:dyDescent="0.2">
      <c r="A256" s="1" t="s">
        <v>1363</v>
      </c>
      <c r="B256" t="s">
        <v>1364</v>
      </c>
      <c r="C256" t="s">
        <v>1365</v>
      </c>
      <c r="D256" t="s">
        <v>153</v>
      </c>
      <c r="E256" t="s">
        <v>26</v>
      </c>
      <c r="F256" t="s">
        <v>2</v>
      </c>
      <c r="G256" t="s">
        <v>159</v>
      </c>
      <c r="H256" t="s">
        <v>28</v>
      </c>
      <c r="I256" t="s">
        <v>29</v>
      </c>
      <c r="J256" t="str">
        <f>+VLOOKUP(A256,[1]Buscador!$B:$E,4,0)</f>
        <v>Cuenca</v>
      </c>
      <c r="K256" t="str">
        <f>+VLOOKUP(A256,[1]Buscador!$B:$F,5,0)</f>
        <v>Azuay</v>
      </c>
      <c r="L256" t="s">
        <v>31</v>
      </c>
      <c r="O256" t="s">
        <v>32</v>
      </c>
      <c r="P256" t="s">
        <v>33</v>
      </c>
      <c r="Q256" t="s">
        <v>161</v>
      </c>
      <c r="R256" t="s">
        <v>153</v>
      </c>
      <c r="S256" t="s">
        <v>298</v>
      </c>
      <c r="T256" t="s">
        <v>1366</v>
      </c>
      <c r="U256" t="s">
        <v>1367</v>
      </c>
      <c r="V256" t="s">
        <v>1368</v>
      </c>
      <c r="W256">
        <v>-2.905424</v>
      </c>
      <c r="X256">
        <v>-79.003303000000002</v>
      </c>
      <c r="Y256">
        <v>0</v>
      </c>
      <c r="Z256">
        <f>+VLOOKUP(H256,Evalua!$G$2:$H$12,2,0)</f>
        <v>1</v>
      </c>
      <c r="AA256">
        <f>+VLOOKUP(I256,Evalua!$G$2:$H$12,2,0)</f>
        <v>2</v>
      </c>
    </row>
    <row r="257" spans="1:27" x14ac:dyDescent="0.2">
      <c r="A257" s="1" t="s">
        <v>1369</v>
      </c>
      <c r="B257" t="s">
        <v>161</v>
      </c>
      <c r="C257" t="s">
        <v>161</v>
      </c>
      <c r="D257" t="s">
        <v>153</v>
      </c>
      <c r="E257" t="s">
        <v>26</v>
      </c>
      <c r="F257" t="s">
        <v>1370</v>
      </c>
      <c r="G257" t="s">
        <v>159</v>
      </c>
      <c r="H257" t="s">
        <v>28</v>
      </c>
      <c r="I257" t="s">
        <v>29</v>
      </c>
      <c r="J257" t="str">
        <f>+VLOOKUP(A257,[1]Buscador!$B:$E,4,0)</f>
        <v>Cuenca</v>
      </c>
      <c r="K257" t="str">
        <f>+VLOOKUP(A257,[1]Buscador!$B:$F,5,0)</f>
        <v>Azuay</v>
      </c>
      <c r="L257" t="s">
        <v>31</v>
      </c>
      <c r="M257">
        <v>50</v>
      </c>
      <c r="N257">
        <v>21.25</v>
      </c>
      <c r="O257" t="s">
        <v>32</v>
      </c>
      <c r="P257" t="s">
        <v>33</v>
      </c>
      <c r="Q257" t="s">
        <v>161</v>
      </c>
      <c r="R257" t="s">
        <v>153</v>
      </c>
      <c r="S257" t="s">
        <v>1371</v>
      </c>
      <c r="T257" t="s">
        <v>1372</v>
      </c>
      <c r="U257" t="s">
        <v>1373</v>
      </c>
      <c r="V257" t="s">
        <v>1368</v>
      </c>
      <c r="W257">
        <v>-2.905424</v>
      </c>
      <c r="X257">
        <v>-79.003303000000002</v>
      </c>
      <c r="Y257">
        <v>0</v>
      </c>
      <c r="Z257">
        <f>+VLOOKUP(H257,Evalua!$G$2:$H$12,2,0)</f>
        <v>1</v>
      </c>
      <c r="AA257">
        <f>+VLOOKUP(I257,Evalua!$G$2:$H$12,2,0)</f>
        <v>2</v>
      </c>
    </row>
    <row r="258" spans="1:27" x14ac:dyDescent="0.2">
      <c r="A258" s="1" t="s">
        <v>1374</v>
      </c>
      <c r="B258" t="s">
        <v>1375</v>
      </c>
      <c r="C258" t="s">
        <v>1376</v>
      </c>
      <c r="D258" t="s">
        <v>153</v>
      </c>
      <c r="E258" t="s">
        <v>26</v>
      </c>
      <c r="F258" t="s">
        <v>2</v>
      </c>
      <c r="G258" t="s">
        <v>159</v>
      </c>
      <c r="H258" t="s">
        <v>28</v>
      </c>
      <c r="I258" t="s">
        <v>29</v>
      </c>
      <c r="J258" t="str">
        <f>+VLOOKUP(A258,[1]Buscador!$B:$E,4,0)</f>
        <v>Cuenca</v>
      </c>
      <c r="K258" t="str">
        <f>+VLOOKUP(A258,[1]Buscador!$B:$F,5,0)</f>
        <v>Azuay</v>
      </c>
      <c r="L258" t="s">
        <v>31</v>
      </c>
      <c r="O258" t="s">
        <v>32</v>
      </c>
      <c r="P258" t="s">
        <v>33</v>
      </c>
      <c r="Q258" t="s">
        <v>1229</v>
      </c>
      <c r="R258" t="s">
        <v>153</v>
      </c>
      <c r="S258" t="s">
        <v>1377</v>
      </c>
      <c r="T258" t="s">
        <v>1378</v>
      </c>
      <c r="U258" t="s">
        <v>1379</v>
      </c>
      <c r="V258" t="s">
        <v>1380</v>
      </c>
      <c r="W258">
        <v>-2.8980204687</v>
      </c>
      <c r="X258">
        <v>-79.002912304000006</v>
      </c>
      <c r="Y258">
        <v>0</v>
      </c>
      <c r="Z258">
        <f>+VLOOKUP(H258,Evalua!$G$2:$H$12,2,0)</f>
        <v>1</v>
      </c>
      <c r="AA258">
        <f>+VLOOKUP(I258,Evalua!$G$2:$H$12,2,0)</f>
        <v>2</v>
      </c>
    </row>
    <row r="259" spans="1:27" x14ac:dyDescent="0.2">
      <c r="A259" s="1" t="s">
        <v>1381</v>
      </c>
      <c r="B259" t="s">
        <v>1229</v>
      </c>
      <c r="C259" t="s">
        <v>1229</v>
      </c>
      <c r="D259" t="s">
        <v>153</v>
      </c>
      <c r="E259" t="s">
        <v>26</v>
      </c>
      <c r="F259" t="s">
        <v>39</v>
      </c>
      <c r="G259" t="s">
        <v>159</v>
      </c>
      <c r="H259" t="s">
        <v>28</v>
      </c>
      <c r="I259" t="s">
        <v>29</v>
      </c>
      <c r="J259" t="str">
        <f>+VLOOKUP(A259,[1]Buscador!$B:$E,4,0)</f>
        <v>Cuenca</v>
      </c>
      <c r="K259" t="str">
        <f>+VLOOKUP(A259,[1]Buscador!$B:$F,5,0)</f>
        <v>Azuay</v>
      </c>
      <c r="L259" t="s">
        <v>31</v>
      </c>
      <c r="M259">
        <v>50</v>
      </c>
      <c r="N259">
        <v>17</v>
      </c>
      <c r="O259" t="s">
        <v>32</v>
      </c>
      <c r="P259" t="s">
        <v>33</v>
      </c>
      <c r="Q259" t="s">
        <v>1229</v>
      </c>
      <c r="R259" t="s">
        <v>153</v>
      </c>
      <c r="S259" t="s">
        <v>1382</v>
      </c>
      <c r="T259" t="s">
        <v>1383</v>
      </c>
      <c r="U259" t="s">
        <v>1384</v>
      </c>
      <c r="V259" t="s">
        <v>1380</v>
      </c>
      <c r="W259">
        <v>-2.8980204687</v>
      </c>
      <c r="X259">
        <v>-79.002912304000006</v>
      </c>
      <c r="Y259">
        <v>0</v>
      </c>
      <c r="Z259">
        <f>+VLOOKUP(H259,Evalua!$G$2:$H$12,2,0)</f>
        <v>1</v>
      </c>
      <c r="AA259">
        <f>+VLOOKUP(I259,Evalua!$G$2:$H$12,2,0)</f>
        <v>2</v>
      </c>
    </row>
    <row r="260" spans="1:27" x14ac:dyDescent="0.2">
      <c r="A260" s="1" t="s">
        <v>1385</v>
      </c>
      <c r="B260" t="s">
        <v>1234</v>
      </c>
      <c r="C260" t="s">
        <v>1234</v>
      </c>
      <c r="D260" t="s">
        <v>153</v>
      </c>
      <c r="E260" t="s">
        <v>26</v>
      </c>
      <c r="F260" t="s">
        <v>136</v>
      </c>
      <c r="G260" t="s">
        <v>27</v>
      </c>
      <c r="H260" t="s">
        <v>28</v>
      </c>
      <c r="I260" t="s">
        <v>29</v>
      </c>
      <c r="J260" t="str">
        <f>+VLOOKUP(A260,[1]Buscador!$B:$E,4,0)</f>
        <v>Sangolquí</v>
      </c>
      <c r="K260" t="str">
        <f>+VLOOKUP(A260,[1]Buscador!$B:$F,5,0)</f>
        <v>Pichincha</v>
      </c>
      <c r="L260" t="s">
        <v>31</v>
      </c>
      <c r="O260" t="s">
        <v>32</v>
      </c>
      <c r="P260" t="s">
        <v>33</v>
      </c>
      <c r="Q260" t="s">
        <v>1234</v>
      </c>
      <c r="R260" t="s">
        <v>153</v>
      </c>
      <c r="S260" t="s">
        <v>304</v>
      </c>
      <c r="T260" t="s">
        <v>1386</v>
      </c>
      <c r="U260" t="s">
        <v>1387</v>
      </c>
      <c r="V260" t="s">
        <v>1388</v>
      </c>
      <c r="W260">
        <v>-0.34977342690000002</v>
      </c>
      <c r="X260">
        <v>-78.458460733199999</v>
      </c>
      <c r="Y260">
        <v>0</v>
      </c>
      <c r="Z260">
        <f>+VLOOKUP(H260,Evalua!$G$2:$H$12,2,0)</f>
        <v>1</v>
      </c>
      <c r="AA260">
        <f>+VLOOKUP(I260,Evalua!$G$2:$H$12,2,0)</f>
        <v>2</v>
      </c>
    </row>
    <row r="261" spans="1:27" x14ac:dyDescent="0.2">
      <c r="A261" s="1" t="s">
        <v>1389</v>
      </c>
      <c r="B261" t="s">
        <v>1390</v>
      </c>
      <c r="C261" t="s">
        <v>1391</v>
      </c>
      <c r="D261" t="s">
        <v>153</v>
      </c>
      <c r="E261" t="s">
        <v>26</v>
      </c>
      <c r="F261" t="s">
        <v>2</v>
      </c>
      <c r="G261" t="s">
        <v>46</v>
      </c>
      <c r="H261" t="s">
        <v>1392</v>
      </c>
      <c r="I261" t="s">
        <v>29</v>
      </c>
      <c r="J261" t="str">
        <f>+VLOOKUP(A261,[1]Buscador!$B:$E,4,0)</f>
        <v>Guayaquil</v>
      </c>
      <c r="K261" t="str">
        <f>+VLOOKUP(A261,[1]Buscador!$B:$F,5,0)</f>
        <v>Guayas</v>
      </c>
      <c r="L261" t="s">
        <v>31</v>
      </c>
      <c r="O261" t="s">
        <v>1393</v>
      </c>
      <c r="P261" t="s">
        <v>33</v>
      </c>
      <c r="Q261" t="s">
        <v>1240</v>
      </c>
      <c r="R261" t="s">
        <v>153</v>
      </c>
      <c r="S261" t="s">
        <v>1112</v>
      </c>
      <c r="T261" t="s">
        <v>1394</v>
      </c>
      <c r="U261" t="s">
        <v>1395</v>
      </c>
      <c r="V261" t="s">
        <v>1396</v>
      </c>
      <c r="W261">
        <v>-2.2261039999999999</v>
      </c>
      <c r="X261">
        <v>-79.889968999999994</v>
      </c>
      <c r="Y261">
        <v>0</v>
      </c>
      <c r="Z261">
        <f>+VLOOKUP(H261,Evalua!$G$2:$H$12,2,0)</f>
        <v>2</v>
      </c>
      <c r="AA261">
        <f>+VLOOKUP(I261,Evalua!$G$2:$H$12,2,0)</f>
        <v>2</v>
      </c>
    </row>
    <row r="262" spans="1:27" x14ac:dyDescent="0.2">
      <c r="A262" s="1" t="s">
        <v>1397</v>
      </c>
      <c r="B262" t="s">
        <v>1240</v>
      </c>
      <c r="C262" t="s">
        <v>1240</v>
      </c>
      <c r="D262" t="s">
        <v>153</v>
      </c>
      <c r="E262" t="s">
        <v>26</v>
      </c>
      <c r="F262" t="s">
        <v>64</v>
      </c>
      <c r="G262" t="s">
        <v>46</v>
      </c>
      <c r="H262" t="s">
        <v>1392</v>
      </c>
      <c r="I262" t="s">
        <v>29</v>
      </c>
      <c r="J262" t="str">
        <f>+VLOOKUP(A262,[1]Buscador!$B:$E,4,0)</f>
        <v>Guayaquil</v>
      </c>
      <c r="K262" t="str">
        <f>+VLOOKUP(A262,[1]Buscador!$B:$F,5,0)</f>
        <v>Guayas</v>
      </c>
      <c r="L262" t="s">
        <v>31</v>
      </c>
      <c r="M262">
        <v>10</v>
      </c>
      <c r="N262">
        <v>4.7222222222222223</v>
      </c>
      <c r="O262" t="s">
        <v>1393</v>
      </c>
      <c r="P262" t="s">
        <v>33</v>
      </c>
      <c r="Q262" t="s">
        <v>1240</v>
      </c>
      <c r="R262" t="s">
        <v>153</v>
      </c>
      <c r="S262" t="s">
        <v>1398</v>
      </c>
      <c r="T262" t="s">
        <v>1399</v>
      </c>
      <c r="U262" t="s">
        <v>1400</v>
      </c>
      <c r="V262" t="s">
        <v>1396</v>
      </c>
      <c r="W262">
        <v>-2.2261039999999999</v>
      </c>
      <c r="X262">
        <v>-79.889968999999994</v>
      </c>
      <c r="Y262">
        <v>0</v>
      </c>
      <c r="Z262">
        <f>+VLOOKUP(H262,Evalua!$G$2:$H$12,2,0)</f>
        <v>2</v>
      </c>
      <c r="AA262">
        <f>+VLOOKUP(I262,Evalua!$G$2:$H$12,2,0)</f>
        <v>2</v>
      </c>
    </row>
    <row r="263" spans="1:27" x14ac:dyDescent="0.2">
      <c r="A263" s="1" t="s">
        <v>1401</v>
      </c>
      <c r="B263" t="s">
        <v>1402</v>
      </c>
      <c r="C263" t="s">
        <v>1403</v>
      </c>
      <c r="D263" t="s">
        <v>153</v>
      </c>
      <c r="E263" t="s">
        <v>26</v>
      </c>
      <c r="F263" t="s">
        <v>2</v>
      </c>
      <c r="G263" t="s">
        <v>194</v>
      </c>
      <c r="H263" t="s">
        <v>28</v>
      </c>
      <c r="I263" t="s">
        <v>234</v>
      </c>
      <c r="J263" t="str">
        <f>+VLOOKUP(A263,[1]Buscador!$B:$E,4,0)</f>
        <v>El Carmen</v>
      </c>
      <c r="K263" t="str">
        <f>+VLOOKUP(A263,[1]Buscador!$B:$F,5,0)</f>
        <v>Manabí</v>
      </c>
      <c r="L263" t="s">
        <v>31</v>
      </c>
      <c r="O263" t="s">
        <v>729</v>
      </c>
      <c r="P263" t="s">
        <v>730</v>
      </c>
      <c r="Q263" t="s">
        <v>1245</v>
      </c>
      <c r="R263" t="s">
        <v>153</v>
      </c>
      <c r="S263" t="s">
        <v>1404</v>
      </c>
      <c r="T263" t="s">
        <v>1405</v>
      </c>
      <c r="U263" t="s">
        <v>1406</v>
      </c>
      <c r="V263" t="s">
        <v>1407</v>
      </c>
      <c r="W263">
        <v>-0.27234110220000002</v>
      </c>
      <c r="X263">
        <v>-79.462855468200004</v>
      </c>
      <c r="Y263">
        <v>0</v>
      </c>
      <c r="Z263">
        <f>+VLOOKUP(H263,Evalua!$G$2:$H$12,2,0)</f>
        <v>1</v>
      </c>
      <c r="AA263">
        <f>+VLOOKUP(I263,Evalua!$G$2:$H$12,2,0)</f>
        <v>1</v>
      </c>
    </row>
    <row r="264" spans="1:27" x14ac:dyDescent="0.2">
      <c r="A264" s="1" t="s">
        <v>1408</v>
      </c>
      <c r="B264" t="s">
        <v>1409</v>
      </c>
      <c r="C264" t="s">
        <v>1403</v>
      </c>
      <c r="D264" t="s">
        <v>153</v>
      </c>
      <c r="E264" t="s">
        <v>26</v>
      </c>
      <c r="F264" t="s">
        <v>2</v>
      </c>
      <c r="G264" t="s">
        <v>194</v>
      </c>
      <c r="H264" t="s">
        <v>28</v>
      </c>
      <c r="I264" t="s">
        <v>234</v>
      </c>
      <c r="J264" t="str">
        <f>+VLOOKUP(A264,[1]Buscador!$B:$E,4,0)</f>
        <v>El Carmen</v>
      </c>
      <c r="K264" t="str">
        <f>+VLOOKUP(A264,[1]Buscador!$B:$F,5,0)</f>
        <v>Manabí</v>
      </c>
      <c r="L264" t="s">
        <v>31</v>
      </c>
      <c r="O264" t="s">
        <v>729</v>
      </c>
      <c r="P264" t="s">
        <v>730</v>
      </c>
      <c r="Q264" t="s">
        <v>1245</v>
      </c>
      <c r="R264" t="s">
        <v>153</v>
      </c>
      <c r="S264" t="s">
        <v>1410</v>
      </c>
      <c r="T264" t="s">
        <v>1411</v>
      </c>
      <c r="U264" t="s">
        <v>1412</v>
      </c>
      <c r="V264" t="s">
        <v>1407</v>
      </c>
      <c r="W264">
        <v>-0.27234110220000002</v>
      </c>
      <c r="X264">
        <v>-79.462855468200004</v>
      </c>
      <c r="Y264">
        <v>0</v>
      </c>
      <c r="Z264">
        <f>+VLOOKUP(H264,Evalua!$G$2:$H$12,2,0)</f>
        <v>1</v>
      </c>
      <c r="AA264">
        <f>+VLOOKUP(I264,Evalua!$G$2:$H$12,2,0)</f>
        <v>1</v>
      </c>
    </row>
    <row r="265" spans="1:27" x14ac:dyDescent="0.2">
      <c r="A265" s="1" t="s">
        <v>1413</v>
      </c>
      <c r="B265" t="s">
        <v>1245</v>
      </c>
      <c r="C265" t="s">
        <v>1245</v>
      </c>
      <c r="D265" t="s">
        <v>153</v>
      </c>
      <c r="E265" t="s">
        <v>26</v>
      </c>
      <c r="F265" t="s">
        <v>39</v>
      </c>
      <c r="G265" t="s">
        <v>194</v>
      </c>
      <c r="H265" t="s">
        <v>28</v>
      </c>
      <c r="I265" t="s">
        <v>234</v>
      </c>
      <c r="J265" t="str">
        <f>+VLOOKUP(A265,[1]Buscador!$B:$E,4,0)</f>
        <v>El Carmen</v>
      </c>
      <c r="K265" t="str">
        <f>+VLOOKUP(A265,[1]Buscador!$B:$F,5,0)</f>
        <v>Manabí</v>
      </c>
      <c r="L265" t="s">
        <v>418</v>
      </c>
      <c r="M265">
        <v>0</v>
      </c>
      <c r="N265">
        <v>4</v>
      </c>
      <c r="O265" t="s">
        <v>729</v>
      </c>
      <c r="P265" t="s">
        <v>730</v>
      </c>
      <c r="Q265" t="s">
        <v>1245</v>
      </c>
      <c r="R265" t="s">
        <v>153</v>
      </c>
      <c r="S265" t="s">
        <v>1414</v>
      </c>
      <c r="T265" t="s">
        <v>1415</v>
      </c>
      <c r="U265" t="s">
        <v>1416</v>
      </c>
      <c r="V265" t="s">
        <v>1407</v>
      </c>
      <c r="W265">
        <v>-0.27234110220000002</v>
      </c>
      <c r="X265">
        <v>-79.462855468200004</v>
      </c>
      <c r="Y265">
        <v>0</v>
      </c>
      <c r="Z265">
        <f>+VLOOKUP(H265,Evalua!$G$2:$H$12,2,0)</f>
        <v>1</v>
      </c>
      <c r="AA265">
        <f>+VLOOKUP(I265,Evalua!$G$2:$H$12,2,0)</f>
        <v>1</v>
      </c>
    </row>
    <row r="266" spans="1:27" x14ac:dyDescent="0.2">
      <c r="A266" s="1" t="s">
        <v>1417</v>
      </c>
      <c r="B266" t="s">
        <v>1418</v>
      </c>
      <c r="C266" t="s">
        <v>1419</v>
      </c>
      <c r="D266" t="s">
        <v>153</v>
      </c>
      <c r="E266" t="s">
        <v>26</v>
      </c>
      <c r="F266" t="s">
        <v>2</v>
      </c>
      <c r="G266" t="s">
        <v>46</v>
      </c>
      <c r="H266" t="s">
        <v>28</v>
      </c>
      <c r="I266" t="s">
        <v>29</v>
      </c>
      <c r="J266" t="str">
        <f>+VLOOKUP(A266,[1]Buscador!$B:$E,4,0)</f>
        <v>La Aurora</v>
      </c>
      <c r="K266" t="str">
        <f>+VLOOKUP(A266,[1]Buscador!$B:$F,5,0)</f>
        <v>Guayas</v>
      </c>
      <c r="L266" t="s">
        <v>31</v>
      </c>
      <c r="O266" t="s">
        <v>32</v>
      </c>
      <c r="P266" t="s">
        <v>33</v>
      </c>
      <c r="Q266" t="s">
        <v>1251</v>
      </c>
      <c r="R266" t="s">
        <v>153</v>
      </c>
      <c r="S266" t="s">
        <v>1420</v>
      </c>
      <c r="T266" t="s">
        <v>1421</v>
      </c>
      <c r="U266" t="s">
        <v>1422</v>
      </c>
      <c r="V266" t="s">
        <v>1423</v>
      </c>
      <c r="W266">
        <v>-2.0552497306999999</v>
      </c>
      <c r="X266">
        <v>-79.875205655399995</v>
      </c>
      <c r="Y266">
        <v>0</v>
      </c>
      <c r="Z266">
        <f>+VLOOKUP(H266,Evalua!$G$2:$H$12,2,0)</f>
        <v>1</v>
      </c>
      <c r="AA266">
        <f>+VLOOKUP(I266,Evalua!$G$2:$H$12,2,0)</f>
        <v>2</v>
      </c>
    </row>
    <row r="267" spans="1:27" x14ac:dyDescent="0.2">
      <c r="A267" s="1" t="s">
        <v>1424</v>
      </c>
      <c r="B267" t="s">
        <v>1251</v>
      </c>
      <c r="C267" t="s">
        <v>1251</v>
      </c>
      <c r="D267" t="s">
        <v>153</v>
      </c>
      <c r="E267" t="s">
        <v>26</v>
      </c>
      <c r="F267" t="s">
        <v>39</v>
      </c>
      <c r="G267" t="s">
        <v>46</v>
      </c>
      <c r="H267" t="s">
        <v>28</v>
      </c>
      <c r="I267" t="s">
        <v>29</v>
      </c>
      <c r="J267" t="str">
        <f>+VLOOKUP(A267,[1]Buscador!$B:$E,4,0)</f>
        <v>La Aurora</v>
      </c>
      <c r="K267" t="str">
        <f>+VLOOKUP(A267,[1]Buscador!$B:$F,5,0)</f>
        <v>Guayas</v>
      </c>
      <c r="L267" t="s">
        <v>31</v>
      </c>
      <c r="M267">
        <v>25</v>
      </c>
      <c r="N267">
        <v>5.3125</v>
      </c>
      <c r="O267" t="s">
        <v>32</v>
      </c>
      <c r="P267" t="s">
        <v>33</v>
      </c>
      <c r="Q267" t="s">
        <v>1251</v>
      </c>
      <c r="R267" t="s">
        <v>153</v>
      </c>
      <c r="S267" t="s">
        <v>1425</v>
      </c>
      <c r="T267" t="s">
        <v>1426</v>
      </c>
      <c r="U267" t="s">
        <v>1427</v>
      </c>
      <c r="V267" t="s">
        <v>1423</v>
      </c>
      <c r="W267">
        <v>-2.0552497306999999</v>
      </c>
      <c r="X267">
        <v>-79.875205655399995</v>
      </c>
      <c r="Y267">
        <v>0</v>
      </c>
      <c r="Z267">
        <f>+VLOOKUP(H267,Evalua!$G$2:$H$12,2,0)</f>
        <v>1</v>
      </c>
      <c r="AA267">
        <f>+VLOOKUP(I267,Evalua!$G$2:$H$12,2,0)</f>
        <v>2</v>
      </c>
    </row>
    <row r="268" spans="1:27" x14ac:dyDescent="0.2">
      <c r="A268" s="1" t="s">
        <v>1428</v>
      </c>
      <c r="B268" t="s">
        <v>1429</v>
      </c>
      <c r="C268" t="s">
        <v>1430</v>
      </c>
      <c r="D268" t="s">
        <v>153</v>
      </c>
      <c r="E268" t="s">
        <v>26</v>
      </c>
      <c r="F268" t="s">
        <v>2</v>
      </c>
      <c r="G268" t="s">
        <v>183</v>
      </c>
      <c r="H268" t="s">
        <v>28</v>
      </c>
      <c r="I268" t="s">
        <v>160</v>
      </c>
      <c r="J268" t="str">
        <f>+VLOOKUP(A268,[1]Buscador!$B:$E,4,0)</f>
        <v>El Empalme</v>
      </c>
      <c r="K268" t="str">
        <f>+VLOOKUP(A268,[1]Buscador!$B:$F,5,0)</f>
        <v>Guayas</v>
      </c>
      <c r="L268" t="s">
        <v>31</v>
      </c>
      <c r="O268" t="s">
        <v>162</v>
      </c>
      <c r="P268" t="s">
        <v>83</v>
      </c>
      <c r="Q268" t="s">
        <v>1256</v>
      </c>
      <c r="R268" t="s">
        <v>153</v>
      </c>
      <c r="S268" t="s">
        <v>171</v>
      </c>
      <c r="T268" t="s">
        <v>1431</v>
      </c>
      <c r="U268" t="s">
        <v>1432</v>
      </c>
      <c r="V268" t="s">
        <v>1433</v>
      </c>
      <c r="W268">
        <v>-1.0423740465</v>
      </c>
      <c r="X268">
        <v>-79.637542364400005</v>
      </c>
      <c r="Y268">
        <v>0</v>
      </c>
      <c r="Z268">
        <f>+VLOOKUP(H268,Evalua!$G$2:$H$12,2,0)</f>
        <v>1</v>
      </c>
      <c r="AA268">
        <f>+VLOOKUP(I268,Evalua!$G$2:$H$12,2,0)</f>
        <v>3</v>
      </c>
    </row>
    <row r="269" spans="1:27" x14ac:dyDescent="0.2">
      <c r="A269" s="1" t="s">
        <v>1434</v>
      </c>
      <c r="B269" t="s">
        <v>1435</v>
      </c>
      <c r="C269" t="s">
        <v>1430</v>
      </c>
      <c r="D269" t="s">
        <v>153</v>
      </c>
      <c r="E269" t="s">
        <v>26</v>
      </c>
      <c r="F269" t="s">
        <v>2</v>
      </c>
      <c r="G269" t="s">
        <v>183</v>
      </c>
      <c r="H269" t="s">
        <v>28</v>
      </c>
      <c r="I269" t="s">
        <v>160</v>
      </c>
      <c r="J269" t="str">
        <f>+VLOOKUP(A269,[1]Buscador!$B:$E,4,0)</f>
        <v>El Empalme</v>
      </c>
      <c r="K269" t="str">
        <f>+VLOOKUP(A269,[1]Buscador!$B:$F,5,0)</f>
        <v>Guayas</v>
      </c>
      <c r="L269" t="s">
        <v>31</v>
      </c>
      <c r="O269" t="s">
        <v>162</v>
      </c>
      <c r="P269" t="s">
        <v>83</v>
      </c>
      <c r="Q269" t="s">
        <v>1256</v>
      </c>
      <c r="R269" t="s">
        <v>153</v>
      </c>
      <c r="S269" t="s">
        <v>1436</v>
      </c>
      <c r="T269" t="s">
        <v>1437</v>
      </c>
      <c r="U269" t="s">
        <v>1438</v>
      </c>
      <c r="V269" t="s">
        <v>1433</v>
      </c>
      <c r="W269">
        <v>-1.0423740465</v>
      </c>
      <c r="X269">
        <v>-79.637542364400005</v>
      </c>
      <c r="Y269">
        <v>0</v>
      </c>
      <c r="Z269">
        <f>+VLOOKUP(H269,Evalua!$G$2:$H$12,2,0)</f>
        <v>1</v>
      </c>
      <c r="AA269">
        <f>+VLOOKUP(I269,Evalua!$G$2:$H$12,2,0)</f>
        <v>3</v>
      </c>
    </row>
    <row r="270" spans="1:27" x14ac:dyDescent="0.2">
      <c r="A270" s="1" t="s">
        <v>1439</v>
      </c>
      <c r="B270" t="s">
        <v>1256</v>
      </c>
      <c r="C270" t="s">
        <v>1256</v>
      </c>
      <c r="D270" t="s">
        <v>153</v>
      </c>
      <c r="E270" t="s">
        <v>26</v>
      </c>
      <c r="F270" t="s">
        <v>39</v>
      </c>
      <c r="G270" t="s">
        <v>183</v>
      </c>
      <c r="H270" t="s">
        <v>28</v>
      </c>
      <c r="I270" t="s">
        <v>160</v>
      </c>
      <c r="J270" t="str">
        <f>+VLOOKUP(A270,[1]Buscador!$B:$E,4,0)</f>
        <v>El Empalme</v>
      </c>
      <c r="K270" t="str">
        <f>+VLOOKUP(A270,[1]Buscador!$B:$F,5,0)</f>
        <v>Guayas</v>
      </c>
      <c r="L270" t="s">
        <v>31</v>
      </c>
      <c r="M270">
        <v>20</v>
      </c>
      <c r="N270">
        <v>6.8</v>
      </c>
      <c r="O270" t="s">
        <v>162</v>
      </c>
      <c r="P270" t="s">
        <v>83</v>
      </c>
      <c r="Q270" t="s">
        <v>1256</v>
      </c>
      <c r="R270" t="s">
        <v>153</v>
      </c>
      <c r="S270" t="s">
        <v>1440</v>
      </c>
      <c r="T270" t="s">
        <v>1441</v>
      </c>
      <c r="U270" t="s">
        <v>1442</v>
      </c>
      <c r="V270" t="s">
        <v>1433</v>
      </c>
      <c r="W270">
        <v>-1.0423740465</v>
      </c>
      <c r="X270">
        <v>-79.637542364400005</v>
      </c>
      <c r="Y270">
        <v>0</v>
      </c>
      <c r="Z270">
        <f>+VLOOKUP(H270,Evalua!$G$2:$H$12,2,0)</f>
        <v>1</v>
      </c>
      <c r="AA270">
        <f>+VLOOKUP(I270,Evalua!$G$2:$H$12,2,0)</f>
        <v>3</v>
      </c>
    </row>
    <row r="271" spans="1:27" x14ac:dyDescent="0.2">
      <c r="A271" s="1" t="s">
        <v>1443</v>
      </c>
      <c r="B271" t="s">
        <v>1444</v>
      </c>
      <c r="C271" t="s">
        <v>80</v>
      </c>
      <c r="D271" t="s">
        <v>153</v>
      </c>
      <c r="E271" t="s">
        <v>26</v>
      </c>
      <c r="F271" t="s">
        <v>2</v>
      </c>
      <c r="G271" t="s">
        <v>46</v>
      </c>
      <c r="H271" t="s">
        <v>28</v>
      </c>
      <c r="I271" t="s">
        <v>29</v>
      </c>
      <c r="J271" t="str">
        <f>+VLOOKUP(A271,[1]Buscador!$B:$E,4,0)</f>
        <v>Guayaquil</v>
      </c>
      <c r="K271" t="str">
        <f>+VLOOKUP(A271,[1]Buscador!$B:$F,5,0)</f>
        <v>Guayas</v>
      </c>
      <c r="L271" t="s">
        <v>31</v>
      </c>
      <c r="O271" t="s">
        <v>32</v>
      </c>
      <c r="P271" t="s">
        <v>33</v>
      </c>
      <c r="Q271" t="s">
        <v>1261</v>
      </c>
      <c r="R271" t="s">
        <v>153</v>
      </c>
      <c r="S271" t="s">
        <v>1445</v>
      </c>
      <c r="T271" t="s">
        <v>1446</v>
      </c>
      <c r="U271" t="s">
        <v>1447</v>
      </c>
      <c r="V271" t="s">
        <v>1448</v>
      </c>
      <c r="W271">
        <v>-2.1276126974</v>
      </c>
      <c r="X271">
        <v>-79.906743559500001</v>
      </c>
      <c r="Y271">
        <v>0</v>
      </c>
      <c r="Z271">
        <f>+VLOOKUP(H271,Evalua!$G$2:$H$12,2,0)</f>
        <v>1</v>
      </c>
      <c r="AA271">
        <f>+VLOOKUP(I271,Evalua!$G$2:$H$12,2,0)</f>
        <v>2</v>
      </c>
    </row>
    <row r="272" spans="1:27" x14ac:dyDescent="0.2">
      <c r="A272" s="1" t="s">
        <v>1449</v>
      </c>
      <c r="B272" t="s">
        <v>1261</v>
      </c>
      <c r="C272" t="s">
        <v>1261</v>
      </c>
      <c r="D272" t="s">
        <v>153</v>
      </c>
      <c r="E272" t="s">
        <v>26</v>
      </c>
      <c r="F272" t="s">
        <v>64</v>
      </c>
      <c r="G272" t="s">
        <v>46</v>
      </c>
      <c r="H272" t="s">
        <v>28</v>
      </c>
      <c r="I272" t="s">
        <v>29</v>
      </c>
      <c r="J272" t="str">
        <f>+VLOOKUP(A272,[1]Buscador!$B:$E,4,0)</f>
        <v>Guayaquil</v>
      </c>
      <c r="K272" t="str">
        <f>+VLOOKUP(A272,[1]Buscador!$B:$F,5,0)</f>
        <v>Guayas</v>
      </c>
      <c r="L272" t="s">
        <v>31</v>
      </c>
      <c r="O272" t="s">
        <v>32</v>
      </c>
      <c r="P272" t="s">
        <v>33</v>
      </c>
      <c r="Q272" t="s">
        <v>1261</v>
      </c>
      <c r="R272" t="s">
        <v>153</v>
      </c>
      <c r="S272" t="s">
        <v>184</v>
      </c>
      <c r="T272" t="s">
        <v>1450</v>
      </c>
      <c r="U272" t="s">
        <v>1451</v>
      </c>
      <c r="V272" t="s">
        <v>1448</v>
      </c>
      <c r="W272">
        <v>-2.1276126974</v>
      </c>
      <c r="X272">
        <v>-79.906743559500001</v>
      </c>
      <c r="Y272">
        <v>0</v>
      </c>
      <c r="Z272">
        <f>+VLOOKUP(H272,Evalua!$G$2:$H$12,2,0)</f>
        <v>1</v>
      </c>
      <c r="AA272">
        <f>+VLOOKUP(I272,Evalua!$G$2:$H$12,2,0)</f>
        <v>2</v>
      </c>
    </row>
    <row r="273" spans="1:27" x14ac:dyDescent="0.2">
      <c r="A273" s="1" t="s">
        <v>1452</v>
      </c>
      <c r="B273" t="s">
        <v>1453</v>
      </c>
      <c r="C273" t="s">
        <v>182</v>
      </c>
      <c r="D273" t="s">
        <v>153</v>
      </c>
      <c r="E273" t="s">
        <v>26</v>
      </c>
      <c r="F273" t="s">
        <v>2</v>
      </c>
      <c r="G273" t="s">
        <v>183</v>
      </c>
      <c r="H273" t="s">
        <v>28</v>
      </c>
      <c r="I273" t="s">
        <v>160</v>
      </c>
      <c r="J273" t="str">
        <f>+VLOOKUP(A273,[1]Buscador!$B:$E,4,0)</f>
        <v>Quevedo</v>
      </c>
      <c r="K273" t="str">
        <f>+VLOOKUP(A273,[1]Buscador!$B:$F,5,0)</f>
        <v>Los Ríos</v>
      </c>
      <c r="L273" t="s">
        <v>31</v>
      </c>
      <c r="O273" t="s">
        <v>162</v>
      </c>
      <c r="P273" t="s">
        <v>83</v>
      </c>
      <c r="Q273" t="s">
        <v>1266</v>
      </c>
      <c r="R273" t="s">
        <v>153</v>
      </c>
      <c r="S273" t="s">
        <v>1454</v>
      </c>
      <c r="T273" t="s">
        <v>1455</v>
      </c>
      <c r="U273" t="s">
        <v>1456</v>
      </c>
      <c r="V273" t="s">
        <v>1457</v>
      </c>
      <c r="W273">
        <v>-0.99963500000000005</v>
      </c>
      <c r="X273">
        <v>-79.467501999999996</v>
      </c>
      <c r="Y273">
        <v>0</v>
      </c>
      <c r="Z273">
        <f>+VLOOKUP(H273,Evalua!$G$2:$H$12,2,0)</f>
        <v>1</v>
      </c>
      <c r="AA273">
        <f>+VLOOKUP(I273,Evalua!$G$2:$H$12,2,0)</f>
        <v>3</v>
      </c>
    </row>
    <row r="274" spans="1:27" x14ac:dyDescent="0.2">
      <c r="A274" s="1" t="s">
        <v>1458</v>
      </c>
      <c r="B274" t="s">
        <v>1266</v>
      </c>
      <c r="C274" t="s">
        <v>1266</v>
      </c>
      <c r="D274" t="s">
        <v>153</v>
      </c>
      <c r="E274" t="s">
        <v>26</v>
      </c>
      <c r="F274" t="s">
        <v>64</v>
      </c>
      <c r="G274" t="s">
        <v>183</v>
      </c>
      <c r="H274" t="s">
        <v>28</v>
      </c>
      <c r="I274" t="s">
        <v>160</v>
      </c>
      <c r="J274" t="str">
        <f>+VLOOKUP(A274,[1]Buscador!$B:$E,4,0)</f>
        <v>Quevedo</v>
      </c>
      <c r="K274" t="str">
        <f>+VLOOKUP(A274,[1]Buscador!$B:$F,5,0)</f>
        <v>Los Ríos</v>
      </c>
      <c r="L274" t="s">
        <v>31</v>
      </c>
      <c r="O274" t="s">
        <v>162</v>
      </c>
      <c r="P274" t="s">
        <v>83</v>
      </c>
      <c r="Q274" t="s">
        <v>1266</v>
      </c>
      <c r="R274" t="s">
        <v>153</v>
      </c>
      <c r="S274" t="s">
        <v>1459</v>
      </c>
      <c r="T274" t="s">
        <v>1460</v>
      </c>
      <c r="U274" t="s">
        <v>1461</v>
      </c>
      <c r="V274" t="s">
        <v>1457</v>
      </c>
      <c r="W274">
        <v>-0.99963500000000005</v>
      </c>
      <c r="X274">
        <v>-79.467501999999996</v>
      </c>
      <c r="Y274">
        <v>0</v>
      </c>
      <c r="Z274">
        <f>+VLOOKUP(H274,Evalua!$G$2:$H$12,2,0)</f>
        <v>1</v>
      </c>
      <c r="AA274">
        <f>+VLOOKUP(I274,Evalua!$G$2:$H$12,2,0)</f>
        <v>3</v>
      </c>
    </row>
    <row r="275" spans="1:27" x14ac:dyDescent="0.2">
      <c r="A275" s="1" t="s">
        <v>1462</v>
      </c>
      <c r="B275" t="s">
        <v>1463</v>
      </c>
      <c r="C275" t="s">
        <v>1464</v>
      </c>
      <c r="D275" t="s">
        <v>153</v>
      </c>
      <c r="E275" t="s">
        <v>26</v>
      </c>
      <c r="F275" t="s">
        <v>2</v>
      </c>
      <c r="G275" t="s">
        <v>46</v>
      </c>
      <c r="H275" t="s">
        <v>28</v>
      </c>
      <c r="I275" t="s">
        <v>29</v>
      </c>
      <c r="J275" t="str">
        <f>+VLOOKUP(A275,[1]Buscador!$B:$E,4,0)</f>
        <v>Guayaquil</v>
      </c>
      <c r="K275" t="str">
        <f>+VLOOKUP(A275,[1]Buscador!$B:$F,5,0)</f>
        <v>Guayas</v>
      </c>
      <c r="L275" t="s">
        <v>31</v>
      </c>
      <c r="O275" t="s">
        <v>32</v>
      </c>
      <c r="P275" t="s">
        <v>33</v>
      </c>
      <c r="Q275" t="s">
        <v>1272</v>
      </c>
      <c r="R275" t="s">
        <v>153</v>
      </c>
      <c r="S275" t="s">
        <v>1465</v>
      </c>
      <c r="T275" t="s">
        <v>1466</v>
      </c>
      <c r="U275" t="s">
        <v>1467</v>
      </c>
      <c r="V275" t="s">
        <v>1468</v>
      </c>
      <c r="W275">
        <v>-2.0928561683</v>
      </c>
      <c r="X275">
        <v>-79.911859219600004</v>
      </c>
      <c r="Y275">
        <v>0</v>
      </c>
      <c r="Z275">
        <f>+VLOOKUP(H275,Evalua!$G$2:$H$12,2,0)</f>
        <v>1</v>
      </c>
      <c r="AA275">
        <f>+VLOOKUP(I275,Evalua!$G$2:$H$12,2,0)</f>
        <v>2</v>
      </c>
    </row>
    <row r="276" spans="1:27" x14ac:dyDescent="0.2">
      <c r="A276" s="1" t="s">
        <v>1469</v>
      </c>
      <c r="B276" t="s">
        <v>1272</v>
      </c>
      <c r="C276" t="s">
        <v>1272</v>
      </c>
      <c r="D276" t="s">
        <v>153</v>
      </c>
      <c r="E276" t="s">
        <v>26</v>
      </c>
      <c r="F276" t="s">
        <v>64</v>
      </c>
      <c r="G276" t="s">
        <v>46</v>
      </c>
      <c r="H276" t="s">
        <v>28</v>
      </c>
      <c r="I276" t="s">
        <v>29</v>
      </c>
      <c r="J276" t="str">
        <f>+VLOOKUP(A276,[1]Buscador!$B:$E,4,0)</f>
        <v>Guayaquil</v>
      </c>
      <c r="K276" t="str">
        <f>+VLOOKUP(A276,[1]Buscador!$B:$F,5,0)</f>
        <v>Guayas</v>
      </c>
      <c r="L276" t="s">
        <v>31</v>
      </c>
      <c r="O276" t="s">
        <v>32</v>
      </c>
      <c r="P276" t="s">
        <v>33</v>
      </c>
      <c r="Q276" t="s">
        <v>1272</v>
      </c>
      <c r="R276" t="s">
        <v>153</v>
      </c>
      <c r="S276" t="s">
        <v>1470</v>
      </c>
      <c r="T276" t="s">
        <v>1471</v>
      </c>
      <c r="U276" t="s">
        <v>1472</v>
      </c>
      <c r="V276" t="s">
        <v>1468</v>
      </c>
      <c r="W276">
        <v>-2.0928561683</v>
      </c>
      <c r="X276">
        <v>-79.911859219600004</v>
      </c>
      <c r="Y276">
        <v>0</v>
      </c>
      <c r="Z276">
        <f>+VLOOKUP(H276,Evalua!$G$2:$H$12,2,0)</f>
        <v>1</v>
      </c>
      <c r="AA276">
        <f>+VLOOKUP(I276,Evalua!$G$2:$H$12,2,0)</f>
        <v>2</v>
      </c>
    </row>
    <row r="277" spans="1:27" x14ac:dyDescent="0.2">
      <c r="A277" s="1" t="s">
        <v>1473</v>
      </c>
      <c r="B277" t="s">
        <v>1474</v>
      </c>
      <c r="C277" t="s">
        <v>1475</v>
      </c>
      <c r="D277" t="s">
        <v>153</v>
      </c>
      <c r="E277" t="s">
        <v>26</v>
      </c>
      <c r="F277" t="s">
        <v>2</v>
      </c>
      <c r="G277" t="s">
        <v>46</v>
      </c>
      <c r="H277" t="s">
        <v>28</v>
      </c>
      <c r="I277" t="s">
        <v>29</v>
      </c>
      <c r="J277" t="str">
        <f>+VLOOKUP(A277,[1]Buscador!$B:$E,4,0)</f>
        <v>Guayaquil</v>
      </c>
      <c r="K277" t="str">
        <f>+VLOOKUP(A277,[1]Buscador!$B:$F,5,0)</f>
        <v>Guayas</v>
      </c>
      <c r="L277" t="s">
        <v>31</v>
      </c>
      <c r="O277" t="s">
        <v>32</v>
      </c>
      <c r="P277" t="s">
        <v>33</v>
      </c>
      <c r="Q277" t="s">
        <v>1277</v>
      </c>
      <c r="R277" t="s">
        <v>153</v>
      </c>
      <c r="S277" t="s">
        <v>1476</v>
      </c>
      <c r="T277" t="s">
        <v>1477</v>
      </c>
      <c r="U277" t="s">
        <v>1478</v>
      </c>
      <c r="V277" t="s">
        <v>1479</v>
      </c>
      <c r="W277">
        <v>-2.1782731905000001</v>
      </c>
      <c r="X277">
        <v>-79.884292520200006</v>
      </c>
      <c r="Y277">
        <v>0</v>
      </c>
      <c r="Z277">
        <f>+VLOOKUP(H277,Evalua!$G$2:$H$12,2,0)</f>
        <v>1</v>
      </c>
      <c r="AA277">
        <f>+VLOOKUP(I277,Evalua!$G$2:$H$12,2,0)</f>
        <v>2</v>
      </c>
    </row>
    <row r="278" spans="1:27" x14ac:dyDescent="0.2">
      <c r="A278" s="1" t="s">
        <v>1480</v>
      </c>
      <c r="B278" t="s">
        <v>1277</v>
      </c>
      <c r="C278" t="s">
        <v>1277</v>
      </c>
      <c r="D278" t="s">
        <v>153</v>
      </c>
      <c r="E278" t="s">
        <v>26</v>
      </c>
      <c r="F278" t="s">
        <v>136</v>
      </c>
      <c r="G278" t="s">
        <v>46</v>
      </c>
      <c r="H278" t="s">
        <v>28</v>
      </c>
      <c r="I278" t="s">
        <v>29</v>
      </c>
      <c r="J278" t="str">
        <f>+VLOOKUP(A278,[1]Buscador!$B:$E,4,0)</f>
        <v>Guayaquil</v>
      </c>
      <c r="K278" t="str">
        <f>+VLOOKUP(A278,[1]Buscador!$B:$F,5,0)</f>
        <v>Guayas</v>
      </c>
      <c r="L278" t="s">
        <v>31</v>
      </c>
      <c r="O278" t="s">
        <v>32</v>
      </c>
      <c r="P278" t="s">
        <v>33</v>
      </c>
      <c r="Q278" t="s">
        <v>1277</v>
      </c>
      <c r="R278" t="s">
        <v>153</v>
      </c>
      <c r="S278" t="s">
        <v>1481</v>
      </c>
      <c r="T278" t="s">
        <v>1482</v>
      </c>
      <c r="U278" t="s">
        <v>1483</v>
      </c>
      <c r="V278" t="s">
        <v>1479</v>
      </c>
      <c r="W278">
        <v>-2.1782731905000001</v>
      </c>
      <c r="X278">
        <v>-79.884292520200006</v>
      </c>
      <c r="Y278">
        <v>0</v>
      </c>
      <c r="Z278">
        <f>+VLOOKUP(H278,Evalua!$G$2:$H$12,2,0)</f>
        <v>1</v>
      </c>
      <c r="AA278">
        <f>+VLOOKUP(I278,Evalua!$G$2:$H$12,2,0)</f>
        <v>2</v>
      </c>
    </row>
    <row r="279" spans="1:27" x14ac:dyDescent="0.2">
      <c r="A279" s="1" t="s">
        <v>1484</v>
      </c>
      <c r="B279" t="s">
        <v>1485</v>
      </c>
      <c r="C279" t="s">
        <v>1475</v>
      </c>
      <c r="D279" t="s">
        <v>153</v>
      </c>
      <c r="E279" t="s">
        <v>26</v>
      </c>
      <c r="F279" t="s">
        <v>2</v>
      </c>
      <c r="G279" t="s">
        <v>46</v>
      </c>
      <c r="H279" t="s">
        <v>28</v>
      </c>
      <c r="I279" t="s">
        <v>29</v>
      </c>
      <c r="J279" t="str">
        <f>+VLOOKUP(A279,[1]Buscador!$B:$E,4,0)</f>
        <v>Guayaquil</v>
      </c>
      <c r="K279" t="str">
        <f>+VLOOKUP(A279,[1]Buscador!$B:$F,5,0)</f>
        <v>Guayas</v>
      </c>
      <c r="L279" t="s">
        <v>153</v>
      </c>
      <c r="O279" t="s">
        <v>32</v>
      </c>
      <c r="P279" t="s">
        <v>33</v>
      </c>
      <c r="Q279" t="s">
        <v>1283</v>
      </c>
      <c r="R279" t="s">
        <v>153</v>
      </c>
      <c r="S279" t="s">
        <v>1486</v>
      </c>
      <c r="T279" t="s">
        <v>1487</v>
      </c>
      <c r="U279" t="s">
        <v>1488</v>
      </c>
      <c r="V279" t="s">
        <v>1489</v>
      </c>
      <c r="W279">
        <v>-2.1759177515000001</v>
      </c>
      <c r="X279">
        <v>-79.884177649700007</v>
      </c>
      <c r="Y279">
        <v>0</v>
      </c>
      <c r="Z279">
        <f>+VLOOKUP(H279,Evalua!$G$2:$H$12,2,0)</f>
        <v>1</v>
      </c>
      <c r="AA279">
        <f>+VLOOKUP(I279,Evalua!$G$2:$H$12,2,0)</f>
        <v>2</v>
      </c>
    </row>
    <row r="280" spans="1:27" x14ac:dyDescent="0.2">
      <c r="A280" s="1" t="s">
        <v>1490</v>
      </c>
      <c r="B280" t="s">
        <v>1283</v>
      </c>
      <c r="C280" t="s">
        <v>1283</v>
      </c>
      <c r="D280" t="s">
        <v>153</v>
      </c>
      <c r="E280" t="s">
        <v>26</v>
      </c>
      <c r="F280" t="s">
        <v>64</v>
      </c>
      <c r="G280" t="s">
        <v>46</v>
      </c>
      <c r="H280" t="s">
        <v>28</v>
      </c>
      <c r="I280" t="s">
        <v>29</v>
      </c>
      <c r="J280" t="str">
        <f>+VLOOKUP(A280,[1]Buscador!$B:$E,4,0)</f>
        <v>Guayaquil</v>
      </c>
      <c r="K280" t="str">
        <f>+VLOOKUP(A280,[1]Buscador!$B:$F,5,0)</f>
        <v>Guayas</v>
      </c>
      <c r="L280" t="s">
        <v>153</v>
      </c>
      <c r="O280" t="s">
        <v>32</v>
      </c>
      <c r="P280" t="s">
        <v>33</v>
      </c>
      <c r="Q280" t="s">
        <v>1283</v>
      </c>
      <c r="R280" t="s">
        <v>153</v>
      </c>
      <c r="S280" t="s">
        <v>1491</v>
      </c>
      <c r="T280" t="s">
        <v>1492</v>
      </c>
      <c r="U280" t="s">
        <v>1493</v>
      </c>
      <c r="V280" t="s">
        <v>1489</v>
      </c>
      <c r="W280">
        <v>-2.1759177515000001</v>
      </c>
      <c r="X280">
        <v>-79.884177649700007</v>
      </c>
      <c r="Y280">
        <v>0</v>
      </c>
      <c r="Z280">
        <f>+VLOOKUP(H280,Evalua!$G$2:$H$12,2,0)</f>
        <v>1</v>
      </c>
      <c r="AA280">
        <f>+VLOOKUP(I280,Evalua!$G$2:$H$12,2,0)</f>
        <v>2</v>
      </c>
    </row>
    <row r="281" spans="1:27" x14ac:dyDescent="0.2">
      <c r="A281" s="1" t="s">
        <v>1494</v>
      </c>
      <c r="B281" t="s">
        <v>1495</v>
      </c>
      <c r="C281" t="s">
        <v>1496</v>
      </c>
      <c r="D281" t="s">
        <v>153</v>
      </c>
      <c r="E281" t="s">
        <v>26</v>
      </c>
      <c r="F281" t="s">
        <v>2</v>
      </c>
      <c r="G281" t="s">
        <v>194</v>
      </c>
      <c r="H281" t="s">
        <v>28</v>
      </c>
      <c r="I281" t="s">
        <v>234</v>
      </c>
      <c r="J281" t="str">
        <f>+VLOOKUP(A281,[1]Buscador!$B:$E,4,0)</f>
        <v>San Isidro</v>
      </c>
      <c r="K281" t="str">
        <f>+VLOOKUP(A281,[1]Buscador!$B:$F,5,0)</f>
        <v>Santo Domingo de los Tsáchilas</v>
      </c>
      <c r="L281" t="s">
        <v>31</v>
      </c>
      <c r="O281" t="s">
        <v>729</v>
      </c>
      <c r="P281" t="s">
        <v>730</v>
      </c>
      <c r="Q281" t="s">
        <v>1288</v>
      </c>
      <c r="R281" t="s">
        <v>153</v>
      </c>
      <c r="S281" t="s">
        <v>1497</v>
      </c>
      <c r="T281" t="s">
        <v>1498</v>
      </c>
      <c r="U281" t="s">
        <v>1499</v>
      </c>
      <c r="V281" t="s">
        <v>1500</v>
      </c>
      <c r="W281">
        <v>4.7511680000000001E-3</v>
      </c>
      <c r="X281">
        <v>-79.397524259799994</v>
      </c>
      <c r="Y281">
        <v>0</v>
      </c>
      <c r="Z281">
        <f>+VLOOKUP(H281,Evalua!$G$2:$H$12,2,0)</f>
        <v>1</v>
      </c>
      <c r="AA281">
        <f>+VLOOKUP(I281,Evalua!$G$2:$H$12,2,0)</f>
        <v>1</v>
      </c>
    </row>
    <row r="282" spans="1:27" x14ac:dyDescent="0.2">
      <c r="A282" s="1" t="s">
        <v>1501</v>
      </c>
      <c r="B282" t="s">
        <v>1288</v>
      </c>
      <c r="C282" t="s">
        <v>1288</v>
      </c>
      <c r="D282" t="s">
        <v>153</v>
      </c>
      <c r="E282" t="s">
        <v>26</v>
      </c>
      <c r="F282" t="s">
        <v>39</v>
      </c>
      <c r="G282" t="s">
        <v>194</v>
      </c>
      <c r="H282" t="s">
        <v>28</v>
      </c>
      <c r="I282" t="s">
        <v>234</v>
      </c>
      <c r="J282" t="str">
        <f>+VLOOKUP(A282,[1]Buscador!$B:$E,4,0)</f>
        <v>San Isidro</v>
      </c>
      <c r="K282" t="str">
        <f>+VLOOKUP(A282,[1]Buscador!$B:$F,5,0)</f>
        <v>Santo Domingo de los Tsáchilas</v>
      </c>
      <c r="L282" t="s">
        <v>31</v>
      </c>
      <c r="M282">
        <v>15</v>
      </c>
      <c r="N282">
        <v>7.96875</v>
      </c>
      <c r="O282" t="s">
        <v>729</v>
      </c>
      <c r="P282" t="s">
        <v>730</v>
      </c>
      <c r="Q282" t="s">
        <v>1288</v>
      </c>
      <c r="R282" t="s">
        <v>153</v>
      </c>
      <c r="S282" t="s">
        <v>1502</v>
      </c>
      <c r="T282" t="s">
        <v>1503</v>
      </c>
      <c r="U282" t="s">
        <v>1504</v>
      </c>
      <c r="V282" t="s">
        <v>1500</v>
      </c>
      <c r="W282">
        <v>4.7511680000000001E-3</v>
      </c>
      <c r="X282">
        <v>-79.397524259799994</v>
      </c>
      <c r="Y282">
        <v>0</v>
      </c>
      <c r="Z282">
        <f>+VLOOKUP(H282,Evalua!$G$2:$H$12,2,0)</f>
        <v>1</v>
      </c>
      <c r="AA282">
        <f>+VLOOKUP(I282,Evalua!$G$2:$H$12,2,0)</f>
        <v>1</v>
      </c>
    </row>
    <row r="283" spans="1:27" x14ac:dyDescent="0.2">
      <c r="A283" s="1" t="s">
        <v>1505</v>
      </c>
      <c r="B283" t="s">
        <v>1506</v>
      </c>
      <c r="C283" t="s">
        <v>1507</v>
      </c>
      <c r="D283" t="s">
        <v>153</v>
      </c>
      <c r="E283" t="s">
        <v>26</v>
      </c>
      <c r="F283" t="s">
        <v>2</v>
      </c>
      <c r="G283" t="s">
        <v>46</v>
      </c>
      <c r="H283" t="s">
        <v>28</v>
      </c>
      <c r="I283" t="s">
        <v>29</v>
      </c>
      <c r="J283" t="str">
        <f>+VLOOKUP(A283,[1]Buscador!$B:$E,4,0)</f>
        <v>La Libertad</v>
      </c>
      <c r="K283" t="str">
        <f>+VLOOKUP(A283,[1]Buscador!$B:$F,5,0)</f>
        <v>Santa Elena</v>
      </c>
      <c r="L283" t="s">
        <v>31</v>
      </c>
      <c r="O283" t="s">
        <v>32</v>
      </c>
      <c r="P283" t="s">
        <v>33</v>
      </c>
      <c r="Q283" t="s">
        <v>1294</v>
      </c>
      <c r="R283" t="s">
        <v>1922</v>
      </c>
      <c r="S283" t="s">
        <v>1508</v>
      </c>
      <c r="T283" t="s">
        <v>1509</v>
      </c>
      <c r="U283" t="s">
        <v>1510</v>
      </c>
      <c r="V283" t="s">
        <v>1511</v>
      </c>
      <c r="W283">
        <v>-2.2212702792000001</v>
      </c>
      <c r="X283">
        <v>-80.9081972245</v>
      </c>
      <c r="Y283">
        <v>0</v>
      </c>
      <c r="Z283">
        <f>+VLOOKUP(H283,Evalua!$G$2:$H$12,2,0)</f>
        <v>1</v>
      </c>
      <c r="AA283">
        <f>+VLOOKUP(I283,Evalua!$G$2:$H$12,2,0)</f>
        <v>2</v>
      </c>
    </row>
    <row r="284" spans="1:27" x14ac:dyDescent="0.2">
      <c r="A284" s="1" t="s">
        <v>1512</v>
      </c>
      <c r="B284" t="s">
        <v>1513</v>
      </c>
      <c r="C284" t="s">
        <v>1507</v>
      </c>
      <c r="D284" t="s">
        <v>153</v>
      </c>
      <c r="E284" t="s">
        <v>26</v>
      </c>
      <c r="F284" t="s">
        <v>2</v>
      </c>
      <c r="G284" t="s">
        <v>46</v>
      </c>
      <c r="H284" t="s">
        <v>28</v>
      </c>
      <c r="I284" t="s">
        <v>29</v>
      </c>
      <c r="J284" t="str">
        <f>+VLOOKUP(A284,[1]Buscador!$B:$E,4,0)</f>
        <v>La Libertad</v>
      </c>
      <c r="K284" t="str">
        <f>+VLOOKUP(A284,[1]Buscador!$B:$F,5,0)</f>
        <v>Santa Elena</v>
      </c>
      <c r="L284" t="s">
        <v>31</v>
      </c>
      <c r="O284" t="s">
        <v>32</v>
      </c>
      <c r="P284" t="s">
        <v>33</v>
      </c>
      <c r="Q284" t="s">
        <v>1294</v>
      </c>
      <c r="R284" t="s">
        <v>1922</v>
      </c>
      <c r="S284" t="s">
        <v>1514</v>
      </c>
      <c r="T284" t="s">
        <v>1515</v>
      </c>
      <c r="U284" t="s">
        <v>1516</v>
      </c>
      <c r="V284" t="s">
        <v>1511</v>
      </c>
      <c r="W284">
        <v>-2.2212702792000001</v>
      </c>
      <c r="X284">
        <v>-80.9081972245</v>
      </c>
      <c r="Y284">
        <v>0</v>
      </c>
      <c r="Z284">
        <f>+VLOOKUP(H284,Evalua!$G$2:$H$12,2,0)</f>
        <v>1</v>
      </c>
      <c r="AA284">
        <f>+VLOOKUP(I284,Evalua!$G$2:$H$12,2,0)</f>
        <v>2</v>
      </c>
    </row>
    <row r="285" spans="1:27" x14ac:dyDescent="0.2">
      <c r="A285" s="1" t="s">
        <v>1517</v>
      </c>
      <c r="B285" t="s">
        <v>1294</v>
      </c>
      <c r="C285" t="s">
        <v>1294</v>
      </c>
      <c r="D285" t="s">
        <v>153</v>
      </c>
      <c r="E285" t="s">
        <v>26</v>
      </c>
      <c r="F285" t="s">
        <v>39</v>
      </c>
      <c r="G285" t="s">
        <v>46</v>
      </c>
      <c r="H285" t="s">
        <v>28</v>
      </c>
      <c r="I285" t="s">
        <v>29</v>
      </c>
      <c r="J285" t="str">
        <f>+VLOOKUP(A285,[1]Buscador!$B:$E,4,0)</f>
        <v>La Libertad</v>
      </c>
      <c r="K285" t="str">
        <f>+VLOOKUP(A285,[1]Buscador!$B:$F,5,0)</f>
        <v>Santa Elena</v>
      </c>
      <c r="L285" t="s">
        <v>31</v>
      </c>
      <c r="M285">
        <v>50</v>
      </c>
      <c r="N285">
        <v>14.16666666666667</v>
      </c>
      <c r="O285" t="s">
        <v>32</v>
      </c>
      <c r="P285" t="s">
        <v>33</v>
      </c>
      <c r="Q285" t="s">
        <v>1294</v>
      </c>
      <c r="R285" t="s">
        <v>1922</v>
      </c>
      <c r="S285" t="s">
        <v>1518</v>
      </c>
      <c r="T285" t="s">
        <v>1519</v>
      </c>
      <c r="U285" t="s">
        <v>1520</v>
      </c>
      <c r="V285" t="s">
        <v>1511</v>
      </c>
      <c r="W285">
        <v>-2.2212702792000001</v>
      </c>
      <c r="X285">
        <v>-80.9081972245</v>
      </c>
      <c r="Y285">
        <v>0</v>
      </c>
      <c r="Z285">
        <f>+VLOOKUP(H285,Evalua!$G$2:$H$12,2,0)</f>
        <v>1</v>
      </c>
      <c r="AA285">
        <f>+VLOOKUP(I285,Evalua!$G$2:$H$12,2,0)</f>
        <v>2</v>
      </c>
    </row>
    <row r="286" spans="1:27" x14ac:dyDescent="0.2">
      <c r="A286" s="1" t="s">
        <v>1521</v>
      </c>
      <c r="B286" t="s">
        <v>1522</v>
      </c>
      <c r="C286" t="s">
        <v>1523</v>
      </c>
      <c r="D286" t="s">
        <v>153</v>
      </c>
      <c r="E286" t="s">
        <v>26</v>
      </c>
      <c r="F286" t="s">
        <v>2</v>
      </c>
      <c r="G286" t="s">
        <v>46</v>
      </c>
      <c r="H286" t="s">
        <v>28</v>
      </c>
      <c r="I286" t="s">
        <v>29</v>
      </c>
      <c r="J286" t="str">
        <f>+VLOOKUP(A286,[1]Buscador!$B:$E,4,0)</f>
        <v>La Troncal</v>
      </c>
      <c r="K286" t="str">
        <f>+VLOOKUP(A286,[1]Buscador!$B:$F,5,0)</f>
        <v>Cañar</v>
      </c>
      <c r="L286" t="s">
        <v>31</v>
      </c>
      <c r="O286" t="s">
        <v>32</v>
      </c>
      <c r="P286" t="s">
        <v>33</v>
      </c>
      <c r="Q286" t="s">
        <v>1300</v>
      </c>
      <c r="R286" t="s">
        <v>153</v>
      </c>
      <c r="S286" t="s">
        <v>386</v>
      </c>
      <c r="T286" t="s">
        <v>1524</v>
      </c>
      <c r="U286" t="s">
        <v>1525</v>
      </c>
      <c r="V286" t="s">
        <v>1526</v>
      </c>
      <c r="W286">
        <v>-2.4231470859000002</v>
      </c>
      <c r="X286">
        <v>-79.343161461999998</v>
      </c>
      <c r="Y286">
        <v>0</v>
      </c>
      <c r="Z286">
        <f>+VLOOKUP(H286,Evalua!$G$2:$H$12,2,0)</f>
        <v>1</v>
      </c>
      <c r="AA286">
        <f>+VLOOKUP(I286,Evalua!$G$2:$H$12,2,0)</f>
        <v>2</v>
      </c>
    </row>
    <row r="287" spans="1:27" x14ac:dyDescent="0.2">
      <c r="A287" s="1" t="s">
        <v>1527</v>
      </c>
      <c r="B287" t="s">
        <v>1528</v>
      </c>
      <c r="C287" t="s">
        <v>1523</v>
      </c>
      <c r="D287" t="s">
        <v>153</v>
      </c>
      <c r="E287" t="s">
        <v>26</v>
      </c>
      <c r="F287" t="s">
        <v>2</v>
      </c>
      <c r="G287" t="s">
        <v>46</v>
      </c>
      <c r="H287" t="s">
        <v>28</v>
      </c>
      <c r="I287" t="s">
        <v>29</v>
      </c>
      <c r="J287" t="str">
        <f>+VLOOKUP(A287,[1]Buscador!$B:$E,4,0)</f>
        <v>La Troncal</v>
      </c>
      <c r="K287" t="str">
        <f>+VLOOKUP(A287,[1]Buscador!$B:$F,5,0)</f>
        <v>Cañar</v>
      </c>
      <c r="L287" t="s">
        <v>31</v>
      </c>
      <c r="O287" t="s">
        <v>32</v>
      </c>
      <c r="P287" t="s">
        <v>33</v>
      </c>
      <c r="Q287" t="s">
        <v>1300</v>
      </c>
      <c r="R287" t="s">
        <v>153</v>
      </c>
      <c r="S287" t="s">
        <v>1529</v>
      </c>
      <c r="T287" t="s">
        <v>1530</v>
      </c>
      <c r="U287" t="s">
        <v>1531</v>
      </c>
      <c r="V287" t="s">
        <v>1526</v>
      </c>
      <c r="W287">
        <v>-2.4231470859000002</v>
      </c>
      <c r="X287">
        <v>-79.343161461999998</v>
      </c>
      <c r="Y287">
        <v>0</v>
      </c>
      <c r="Z287">
        <f>+VLOOKUP(H287,Evalua!$G$2:$H$12,2,0)</f>
        <v>1</v>
      </c>
      <c r="AA287">
        <f>+VLOOKUP(I287,Evalua!$G$2:$H$12,2,0)</f>
        <v>2</v>
      </c>
    </row>
    <row r="288" spans="1:27" x14ac:dyDescent="0.2">
      <c r="A288" s="1" t="s">
        <v>1532</v>
      </c>
      <c r="B288" t="s">
        <v>1300</v>
      </c>
      <c r="C288" t="s">
        <v>1300</v>
      </c>
      <c r="D288" t="s">
        <v>153</v>
      </c>
      <c r="E288" t="s">
        <v>26</v>
      </c>
      <c r="F288" t="s">
        <v>39</v>
      </c>
      <c r="G288" t="s">
        <v>46</v>
      </c>
      <c r="H288" t="s">
        <v>28</v>
      </c>
      <c r="I288" t="s">
        <v>29</v>
      </c>
      <c r="J288" t="str">
        <f>+VLOOKUP(A288,[1]Buscador!$B:$E,4,0)</f>
        <v>La Troncal</v>
      </c>
      <c r="K288" t="str">
        <f>+VLOOKUP(A288,[1]Buscador!$B:$F,5,0)</f>
        <v>Cañar</v>
      </c>
      <c r="L288" t="s">
        <v>31</v>
      </c>
      <c r="M288">
        <v>50</v>
      </c>
      <c r="N288">
        <v>17</v>
      </c>
      <c r="O288" t="s">
        <v>32</v>
      </c>
      <c r="P288" t="s">
        <v>33</v>
      </c>
      <c r="Q288" t="s">
        <v>1300</v>
      </c>
      <c r="R288" t="s">
        <v>153</v>
      </c>
      <c r="S288" t="s">
        <v>195</v>
      </c>
      <c r="T288" t="s">
        <v>1533</v>
      </c>
      <c r="U288" t="s">
        <v>1534</v>
      </c>
      <c r="V288" t="s">
        <v>1526</v>
      </c>
      <c r="W288">
        <v>-2.4231470859000002</v>
      </c>
      <c r="X288">
        <v>-79.343161461999998</v>
      </c>
      <c r="Y288">
        <v>0</v>
      </c>
      <c r="Z288">
        <f>+VLOOKUP(H288,Evalua!$G$2:$H$12,2,0)</f>
        <v>1</v>
      </c>
      <c r="AA288">
        <f>+VLOOKUP(I288,Evalua!$G$2:$H$12,2,0)</f>
        <v>2</v>
      </c>
    </row>
    <row r="289" spans="1:27" x14ac:dyDescent="0.2">
      <c r="A289" s="1" t="s">
        <v>1535</v>
      </c>
      <c r="B289" t="s">
        <v>1536</v>
      </c>
      <c r="C289" t="s">
        <v>1537</v>
      </c>
      <c r="D289" t="s">
        <v>153</v>
      </c>
      <c r="E289" t="s">
        <v>26</v>
      </c>
      <c r="F289" t="s">
        <v>2</v>
      </c>
      <c r="G289" t="s">
        <v>46</v>
      </c>
      <c r="H289" t="s">
        <v>28</v>
      </c>
      <c r="I289" t="s">
        <v>29</v>
      </c>
      <c r="J289" t="str">
        <f>+VLOOKUP(A289,[1]Buscador!$B:$E,4,0)</f>
        <v>Guayaquil</v>
      </c>
      <c r="K289" t="str">
        <f>+VLOOKUP(A289,[1]Buscador!$B:$F,5,0)</f>
        <v>Guayas</v>
      </c>
      <c r="L289" t="s">
        <v>31</v>
      </c>
      <c r="O289" t="s">
        <v>32</v>
      </c>
      <c r="P289" t="s">
        <v>33</v>
      </c>
      <c r="Q289" t="s">
        <v>1304</v>
      </c>
      <c r="R289" t="s">
        <v>153</v>
      </c>
      <c r="S289" t="s">
        <v>1538</v>
      </c>
      <c r="T289" t="s">
        <v>1539</v>
      </c>
      <c r="U289" t="s">
        <v>1540</v>
      </c>
      <c r="V289" t="s">
        <v>1541</v>
      </c>
      <c r="W289">
        <v>-2.1711010000000002</v>
      </c>
      <c r="X289">
        <v>-79.911039000000002</v>
      </c>
      <c r="Y289">
        <v>0</v>
      </c>
      <c r="Z289">
        <f>+VLOOKUP(H289,Evalua!$G$2:$H$12,2,0)</f>
        <v>1</v>
      </c>
      <c r="AA289">
        <f>+VLOOKUP(I289,Evalua!$G$2:$H$12,2,0)</f>
        <v>2</v>
      </c>
    </row>
    <row r="290" spans="1:27" x14ac:dyDescent="0.2">
      <c r="A290" s="1" t="s">
        <v>1542</v>
      </c>
      <c r="B290" t="s">
        <v>1304</v>
      </c>
      <c r="C290" t="s">
        <v>1304</v>
      </c>
      <c r="D290" t="s">
        <v>153</v>
      </c>
      <c r="E290" t="s">
        <v>26</v>
      </c>
      <c r="F290" t="s">
        <v>39</v>
      </c>
      <c r="G290" t="s">
        <v>46</v>
      </c>
      <c r="H290" t="s">
        <v>28</v>
      </c>
      <c r="I290" t="s">
        <v>29</v>
      </c>
      <c r="J290" t="str">
        <f>+VLOOKUP(A290,[1]Buscador!$B:$E,4,0)</f>
        <v>Guayaquil</v>
      </c>
      <c r="K290" t="str">
        <f>+VLOOKUP(A290,[1]Buscador!$B:$F,5,0)</f>
        <v>Guayas</v>
      </c>
      <c r="L290" t="s">
        <v>31</v>
      </c>
      <c r="M290">
        <v>60</v>
      </c>
      <c r="N290">
        <v>17</v>
      </c>
      <c r="O290" t="s">
        <v>32</v>
      </c>
      <c r="P290" t="s">
        <v>33</v>
      </c>
      <c r="Q290" t="s">
        <v>1304</v>
      </c>
      <c r="R290" t="s">
        <v>153</v>
      </c>
      <c r="S290" t="s">
        <v>1543</v>
      </c>
      <c r="T290" t="s">
        <v>1544</v>
      </c>
      <c r="U290" t="s">
        <v>1545</v>
      </c>
      <c r="V290" t="s">
        <v>1541</v>
      </c>
      <c r="W290">
        <v>-2.1711010000000002</v>
      </c>
      <c r="X290">
        <v>-79.911039000000002</v>
      </c>
      <c r="Y290">
        <v>0</v>
      </c>
      <c r="Z290">
        <f>+VLOOKUP(H290,Evalua!$G$2:$H$12,2,0)</f>
        <v>1</v>
      </c>
      <c r="AA290">
        <f>+VLOOKUP(I290,Evalua!$G$2:$H$12,2,0)</f>
        <v>2</v>
      </c>
    </row>
    <row r="291" spans="1:27" x14ac:dyDescent="0.2">
      <c r="A291" s="1" t="s">
        <v>1546</v>
      </c>
      <c r="B291" t="s">
        <v>1547</v>
      </c>
      <c r="C291" t="s">
        <v>1548</v>
      </c>
      <c r="D291" t="s">
        <v>153</v>
      </c>
      <c r="E291" t="s">
        <v>26</v>
      </c>
      <c r="F291" t="s">
        <v>2</v>
      </c>
      <c r="G291" t="s">
        <v>159</v>
      </c>
      <c r="H291" t="s">
        <v>28</v>
      </c>
      <c r="I291" t="s">
        <v>29</v>
      </c>
      <c r="J291" t="str">
        <f>+VLOOKUP(A291,[1]Buscador!$B:$E,4,0)</f>
        <v>Loja</v>
      </c>
      <c r="K291" t="str">
        <f>+VLOOKUP(A291,[1]Buscador!$B:$F,5,0)</f>
        <v>Loja</v>
      </c>
      <c r="L291" t="s">
        <v>31</v>
      </c>
      <c r="O291" t="s">
        <v>32</v>
      </c>
      <c r="P291" t="s">
        <v>33</v>
      </c>
      <c r="Q291" t="s">
        <v>1310</v>
      </c>
      <c r="R291" t="s">
        <v>153</v>
      </c>
      <c r="S291" t="s">
        <v>1549</v>
      </c>
      <c r="T291" t="s">
        <v>1550</v>
      </c>
      <c r="U291" t="s">
        <v>1551</v>
      </c>
      <c r="V291" t="s">
        <v>1552</v>
      </c>
      <c r="W291">
        <v>-3.9964520000000001</v>
      </c>
      <c r="X291">
        <v>-79.203559999999996</v>
      </c>
      <c r="Y291">
        <v>0</v>
      </c>
      <c r="Z291">
        <f>+VLOOKUP(H291,Evalua!$G$2:$H$12,2,0)</f>
        <v>1</v>
      </c>
      <c r="AA291">
        <f>+VLOOKUP(I291,Evalua!$G$2:$H$12,2,0)</f>
        <v>2</v>
      </c>
    </row>
    <row r="292" spans="1:27" x14ac:dyDescent="0.2">
      <c r="A292" s="1" t="s">
        <v>1553</v>
      </c>
      <c r="B292" t="s">
        <v>1310</v>
      </c>
      <c r="C292" t="s">
        <v>1310</v>
      </c>
      <c r="D292" t="s">
        <v>153</v>
      </c>
      <c r="E292" t="s">
        <v>26</v>
      </c>
      <c r="F292" t="s">
        <v>39</v>
      </c>
      <c r="G292" t="s">
        <v>159</v>
      </c>
      <c r="H292" t="s">
        <v>28</v>
      </c>
      <c r="I292" t="s">
        <v>29</v>
      </c>
      <c r="J292" t="str">
        <f>+VLOOKUP(A292,[1]Buscador!$B:$E,4,0)</f>
        <v>Loja</v>
      </c>
      <c r="K292" t="str">
        <f>+VLOOKUP(A292,[1]Buscador!$B:$F,5,0)</f>
        <v>Loja</v>
      </c>
      <c r="L292" t="s">
        <v>31</v>
      </c>
      <c r="M292">
        <v>5</v>
      </c>
      <c r="N292">
        <v>2.125</v>
      </c>
      <c r="O292" t="s">
        <v>32</v>
      </c>
      <c r="P292" t="s">
        <v>33</v>
      </c>
      <c r="Q292" t="s">
        <v>1310</v>
      </c>
      <c r="R292" t="s">
        <v>153</v>
      </c>
      <c r="S292" t="s">
        <v>1554</v>
      </c>
      <c r="T292" t="s">
        <v>1555</v>
      </c>
      <c r="U292" t="s">
        <v>1556</v>
      </c>
      <c r="V292" t="s">
        <v>1552</v>
      </c>
      <c r="W292">
        <v>-3.9964520000000001</v>
      </c>
      <c r="X292">
        <v>-79.203559999999996</v>
      </c>
      <c r="Y292">
        <v>0</v>
      </c>
      <c r="Z292">
        <f>+VLOOKUP(H292,Evalua!$G$2:$H$12,2,0)</f>
        <v>1</v>
      </c>
      <c r="AA292">
        <f>+VLOOKUP(I292,Evalua!$G$2:$H$12,2,0)</f>
        <v>2</v>
      </c>
    </row>
    <row r="293" spans="1:27" x14ac:dyDescent="0.2">
      <c r="A293" s="1" t="s">
        <v>1557</v>
      </c>
      <c r="B293" t="s">
        <v>1558</v>
      </c>
      <c r="C293" t="s">
        <v>1559</v>
      </c>
      <c r="D293" t="s">
        <v>153</v>
      </c>
      <c r="E293" t="s">
        <v>26</v>
      </c>
      <c r="F293" t="s">
        <v>2</v>
      </c>
      <c r="G293" t="s">
        <v>46</v>
      </c>
      <c r="H293" t="s">
        <v>28</v>
      </c>
      <c r="I293" t="s">
        <v>29</v>
      </c>
      <c r="J293" t="str">
        <f>+VLOOKUP(A293,[1]Buscador!$B:$E,4,0)</f>
        <v>Guayaquil</v>
      </c>
      <c r="K293" t="str">
        <f>+VLOOKUP(A293,[1]Buscador!$B:$F,5,0)</f>
        <v>Guayas</v>
      </c>
      <c r="L293" t="s">
        <v>31</v>
      </c>
      <c r="O293" t="s">
        <v>32</v>
      </c>
      <c r="P293" t="s">
        <v>33</v>
      </c>
      <c r="Q293" t="s">
        <v>1316</v>
      </c>
      <c r="R293" t="s">
        <v>153</v>
      </c>
      <c r="S293" t="s">
        <v>1560</v>
      </c>
      <c r="T293" t="s">
        <v>1561</v>
      </c>
      <c r="U293" t="s">
        <v>1562</v>
      </c>
      <c r="V293" t="s">
        <v>637</v>
      </c>
      <c r="W293">
        <v>-2.1800670462</v>
      </c>
      <c r="X293">
        <v>-79.944811350099997</v>
      </c>
      <c r="Y293">
        <v>0</v>
      </c>
      <c r="Z293">
        <f>+VLOOKUP(H293,Evalua!$G$2:$H$12,2,0)</f>
        <v>1</v>
      </c>
      <c r="AA293">
        <f>+VLOOKUP(I293,Evalua!$G$2:$H$12,2,0)</f>
        <v>2</v>
      </c>
    </row>
    <row r="294" spans="1:27" x14ac:dyDescent="0.2">
      <c r="A294" s="1" t="s">
        <v>1563</v>
      </c>
      <c r="B294" t="s">
        <v>1316</v>
      </c>
      <c r="C294" t="s">
        <v>1316</v>
      </c>
      <c r="D294" t="s">
        <v>153</v>
      </c>
      <c r="E294" t="s">
        <v>26</v>
      </c>
      <c r="F294" t="s">
        <v>39</v>
      </c>
      <c r="G294" t="s">
        <v>46</v>
      </c>
      <c r="H294" t="s">
        <v>28</v>
      </c>
      <c r="I294" t="s">
        <v>29</v>
      </c>
      <c r="J294" t="str">
        <f>+VLOOKUP(A294,[1]Buscador!$B:$E,4,0)</f>
        <v>Guayaquil</v>
      </c>
      <c r="K294" t="str">
        <f>+VLOOKUP(A294,[1]Buscador!$B:$F,5,0)</f>
        <v>Guayas</v>
      </c>
      <c r="L294" t="s">
        <v>31</v>
      </c>
      <c r="M294">
        <v>350</v>
      </c>
      <c r="N294">
        <v>9.9166666666666661</v>
      </c>
      <c r="O294" t="s">
        <v>32</v>
      </c>
      <c r="P294" t="s">
        <v>33</v>
      </c>
      <c r="Q294" t="s">
        <v>1316</v>
      </c>
      <c r="R294" t="s">
        <v>153</v>
      </c>
      <c r="S294" t="s">
        <v>1564</v>
      </c>
      <c r="T294" t="s">
        <v>1565</v>
      </c>
      <c r="U294" t="s">
        <v>1566</v>
      </c>
      <c r="V294" t="s">
        <v>637</v>
      </c>
      <c r="W294">
        <v>-2.1800670462</v>
      </c>
      <c r="X294">
        <v>-79.944811350099997</v>
      </c>
      <c r="Y294">
        <v>0</v>
      </c>
      <c r="Z294">
        <f>+VLOOKUP(H294,Evalua!$G$2:$H$12,2,0)</f>
        <v>1</v>
      </c>
      <c r="AA294">
        <f>+VLOOKUP(I294,Evalua!$G$2:$H$12,2,0)</f>
        <v>2</v>
      </c>
    </row>
    <row r="295" spans="1:27" x14ac:dyDescent="0.2">
      <c r="A295" s="1" t="s">
        <v>1567</v>
      </c>
      <c r="B295" t="s">
        <v>1321</v>
      </c>
      <c r="C295" t="s">
        <v>1321</v>
      </c>
      <c r="D295" t="s">
        <v>153</v>
      </c>
      <c r="E295" t="s">
        <v>26</v>
      </c>
      <c r="F295" t="s">
        <v>136</v>
      </c>
      <c r="G295" t="s">
        <v>170</v>
      </c>
      <c r="H295" t="s">
        <v>81</v>
      </c>
      <c r="I295" t="s">
        <v>29</v>
      </c>
      <c r="J295" t="str">
        <f>+VLOOKUP(A295,[1]Buscador!$B:$E,4,0)</f>
        <v>Manta</v>
      </c>
      <c r="K295" t="str">
        <f>+VLOOKUP(A295,[1]Buscador!$B:$F,5,0)</f>
        <v>Manabí</v>
      </c>
      <c r="L295" t="s">
        <v>153</v>
      </c>
      <c r="O295" t="s">
        <v>82</v>
      </c>
      <c r="P295" t="s">
        <v>83</v>
      </c>
      <c r="Q295" t="s">
        <v>1321</v>
      </c>
      <c r="R295" t="s">
        <v>153</v>
      </c>
      <c r="S295" t="s">
        <v>1568</v>
      </c>
      <c r="T295" t="s">
        <v>1569</v>
      </c>
      <c r="U295" t="s">
        <v>1570</v>
      </c>
      <c r="V295" t="s">
        <v>1571</v>
      </c>
      <c r="W295">
        <v>-0.94655</v>
      </c>
      <c r="X295">
        <v>-80.722707</v>
      </c>
      <c r="Y295">
        <v>0</v>
      </c>
      <c r="Z295">
        <f>+VLOOKUP(H295,Evalua!$G$2:$H$12,2,0)</f>
        <v>3</v>
      </c>
      <c r="AA295">
        <f>+VLOOKUP(I295,Evalua!$G$2:$H$12,2,0)</f>
        <v>2</v>
      </c>
    </row>
    <row r="296" spans="1:27" x14ac:dyDescent="0.2">
      <c r="A296" s="1" t="s">
        <v>1572</v>
      </c>
      <c r="B296" t="s">
        <v>1326</v>
      </c>
      <c r="C296" t="s">
        <v>1326</v>
      </c>
      <c r="D296" t="s">
        <v>153</v>
      </c>
      <c r="E296" t="s">
        <v>26</v>
      </c>
      <c r="F296" t="s">
        <v>136</v>
      </c>
      <c r="G296" t="s">
        <v>46</v>
      </c>
      <c r="H296" t="s">
        <v>28</v>
      </c>
      <c r="I296" t="s">
        <v>29</v>
      </c>
      <c r="J296" t="str">
        <f>+VLOOKUP(A296,[1]Buscador!$B:$E,4,0)</f>
        <v>Guayaquil</v>
      </c>
      <c r="K296" t="str">
        <f>+VLOOKUP(A296,[1]Buscador!$B:$F,5,0)</f>
        <v>Guayas</v>
      </c>
      <c r="L296" t="s">
        <v>153</v>
      </c>
      <c r="O296" t="s">
        <v>32</v>
      </c>
      <c r="P296" t="s">
        <v>33</v>
      </c>
      <c r="Q296" t="s">
        <v>1326</v>
      </c>
      <c r="R296" t="s">
        <v>153</v>
      </c>
      <c r="T296" t="s">
        <v>1573</v>
      </c>
      <c r="V296" t="s">
        <v>1924</v>
      </c>
      <c r="W296">
        <v>-2.1902874256513001</v>
      </c>
      <c r="X296">
        <v>-79.886598144367994</v>
      </c>
      <c r="Y296">
        <v>0</v>
      </c>
      <c r="Z296">
        <f>+VLOOKUP(H296,Evalua!$G$2:$H$12,2,0)</f>
        <v>1</v>
      </c>
      <c r="AA296">
        <f>+VLOOKUP(I296,Evalua!$G$2:$H$12,2,0)</f>
        <v>2</v>
      </c>
    </row>
    <row r="297" spans="1:27" x14ac:dyDescent="0.2">
      <c r="A297" s="1" t="s">
        <v>1574</v>
      </c>
      <c r="B297" t="s">
        <v>1331</v>
      </c>
      <c r="C297" t="s">
        <v>1331</v>
      </c>
      <c r="D297" t="s">
        <v>153</v>
      </c>
      <c r="E297" t="s">
        <v>26</v>
      </c>
      <c r="F297" t="s">
        <v>136</v>
      </c>
      <c r="G297" t="s">
        <v>46</v>
      </c>
      <c r="H297" t="s">
        <v>28</v>
      </c>
      <c r="I297" t="s">
        <v>29</v>
      </c>
      <c r="J297" t="str">
        <f>+VLOOKUP(A297,[1]Buscador!$B:$E,4,0)</f>
        <v>Guayaquil</v>
      </c>
      <c r="K297" t="str">
        <f>+VLOOKUP(A297,[1]Buscador!$B:$F,5,0)</f>
        <v>Guayas</v>
      </c>
      <c r="L297" t="s">
        <v>31</v>
      </c>
      <c r="O297" t="s">
        <v>32</v>
      </c>
      <c r="P297" t="s">
        <v>33</v>
      </c>
      <c r="Q297" t="s">
        <v>1331</v>
      </c>
      <c r="R297" t="s">
        <v>153</v>
      </c>
      <c r="T297" t="s">
        <v>1575</v>
      </c>
      <c r="V297" t="s">
        <v>1925</v>
      </c>
      <c r="W297">
        <v>-2.1625162274386001</v>
      </c>
      <c r="X297">
        <v>-79.892682835393998</v>
      </c>
      <c r="Y297">
        <v>0</v>
      </c>
      <c r="Z297">
        <f>+VLOOKUP(H297,Evalua!$G$2:$H$12,2,0)</f>
        <v>1</v>
      </c>
      <c r="AA297">
        <f>+VLOOKUP(I297,Evalua!$G$2:$H$12,2,0)</f>
        <v>2</v>
      </c>
    </row>
    <row r="298" spans="1:27" x14ac:dyDescent="0.2">
      <c r="A298" s="1" t="s">
        <v>1576</v>
      </c>
      <c r="B298" t="s">
        <v>1336</v>
      </c>
      <c r="C298" t="s">
        <v>1336</v>
      </c>
      <c r="D298" t="s">
        <v>153</v>
      </c>
      <c r="E298" t="s">
        <v>26</v>
      </c>
      <c r="F298" t="s">
        <v>136</v>
      </c>
      <c r="G298" t="s">
        <v>46</v>
      </c>
      <c r="H298" t="s">
        <v>28</v>
      </c>
      <c r="I298" t="s">
        <v>29</v>
      </c>
      <c r="J298" t="str">
        <f>+VLOOKUP(A298,[1]Buscador!$B:$E,4,0)</f>
        <v>Guayaquil</v>
      </c>
      <c r="K298" t="str">
        <f>+VLOOKUP(A298,[1]Buscador!$B:$F,5,0)</f>
        <v>Guayas</v>
      </c>
      <c r="L298" t="s">
        <v>31</v>
      </c>
      <c r="O298" t="s">
        <v>32</v>
      </c>
      <c r="P298" t="s">
        <v>33</v>
      </c>
      <c r="Q298" t="s">
        <v>1336</v>
      </c>
      <c r="R298" t="s">
        <v>153</v>
      </c>
      <c r="T298" t="s">
        <v>1577</v>
      </c>
      <c r="V298" t="s">
        <v>1926</v>
      </c>
      <c r="W298">
        <v>-2.192288</v>
      </c>
      <c r="X298">
        <v>-79.881484</v>
      </c>
      <c r="Y298">
        <v>0</v>
      </c>
      <c r="Z298">
        <f>+VLOOKUP(H298,Evalua!$G$2:$H$12,2,0)</f>
        <v>1</v>
      </c>
      <c r="AA298">
        <f>+VLOOKUP(I298,Evalua!$G$2:$H$12,2,0)</f>
        <v>2</v>
      </c>
    </row>
    <row r="299" spans="1:27" x14ac:dyDescent="0.2">
      <c r="A299" s="1" t="s">
        <v>1578</v>
      </c>
      <c r="B299" t="s">
        <v>1579</v>
      </c>
      <c r="C299" t="s">
        <v>1580</v>
      </c>
      <c r="D299" t="s">
        <v>153</v>
      </c>
      <c r="E299" t="s">
        <v>26</v>
      </c>
      <c r="F299" t="s">
        <v>2</v>
      </c>
      <c r="G299" t="s">
        <v>206</v>
      </c>
      <c r="H299" t="s">
        <v>1392</v>
      </c>
      <c r="I299" t="s">
        <v>234</v>
      </c>
      <c r="J299" t="str">
        <f>+VLOOKUP(A299,[1]Buscador!$B:$E,4,0)</f>
        <v>Machala</v>
      </c>
      <c r="K299" t="str">
        <f>+VLOOKUP(A299,[1]Buscador!$B:$F,5,0)</f>
        <v>El Oro</v>
      </c>
      <c r="L299" t="s">
        <v>31</v>
      </c>
      <c r="O299" t="s">
        <v>1581</v>
      </c>
      <c r="P299" t="s">
        <v>730</v>
      </c>
      <c r="Q299" t="s">
        <v>207</v>
      </c>
      <c r="R299" t="s">
        <v>153</v>
      </c>
      <c r="T299" t="s">
        <v>1582</v>
      </c>
      <c r="V299" t="s">
        <v>1927</v>
      </c>
      <c r="W299">
        <v>-3.2791119581546</v>
      </c>
      <c r="X299">
        <v>-79.933491846032993</v>
      </c>
      <c r="Y299">
        <v>0</v>
      </c>
      <c r="Z299">
        <f>+VLOOKUP(H299,Evalua!$G$2:$H$12,2,0)</f>
        <v>2</v>
      </c>
      <c r="AA299">
        <f>+VLOOKUP(I299,Evalua!$G$2:$H$12,2,0)</f>
        <v>1</v>
      </c>
    </row>
    <row r="300" spans="1:27" x14ac:dyDescent="0.2">
      <c r="A300" s="1" t="s">
        <v>1583</v>
      </c>
      <c r="B300" t="s">
        <v>207</v>
      </c>
      <c r="C300" t="s">
        <v>1580</v>
      </c>
      <c r="D300" t="s">
        <v>153</v>
      </c>
      <c r="E300" t="s">
        <v>26</v>
      </c>
      <c r="F300" t="s">
        <v>39</v>
      </c>
      <c r="G300" t="s">
        <v>206</v>
      </c>
      <c r="H300" t="s">
        <v>1392</v>
      </c>
      <c r="I300" t="s">
        <v>234</v>
      </c>
      <c r="J300" t="str">
        <f>+VLOOKUP(A300,[1]Buscador!$B:$E,4,0)</f>
        <v>Machala</v>
      </c>
      <c r="K300" t="str">
        <f>+VLOOKUP(A300,[1]Buscador!$B:$F,5,0)</f>
        <v>El Oro</v>
      </c>
      <c r="L300" t="s">
        <v>31</v>
      </c>
      <c r="M300">
        <v>100</v>
      </c>
      <c r="N300">
        <v>8.5</v>
      </c>
      <c r="O300" t="s">
        <v>1581</v>
      </c>
      <c r="P300" t="s">
        <v>730</v>
      </c>
      <c r="Q300" t="s">
        <v>207</v>
      </c>
      <c r="R300" t="s">
        <v>153</v>
      </c>
      <c r="T300" t="s">
        <v>1584</v>
      </c>
      <c r="V300" t="s">
        <v>1927</v>
      </c>
      <c r="W300">
        <v>-3.2791119581546</v>
      </c>
      <c r="X300">
        <v>-79.933491846032993</v>
      </c>
      <c r="Y300">
        <v>0</v>
      </c>
      <c r="Z300">
        <f>+VLOOKUP(H300,Evalua!$G$2:$H$12,2,0)</f>
        <v>2</v>
      </c>
      <c r="AA300">
        <f>+VLOOKUP(I300,Evalua!$G$2:$H$12,2,0)</f>
        <v>1</v>
      </c>
    </row>
    <row r="301" spans="1:27" x14ac:dyDescent="0.2">
      <c r="A301" s="1" t="s">
        <v>1585</v>
      </c>
      <c r="B301" t="s">
        <v>1586</v>
      </c>
      <c r="C301" t="s">
        <v>1587</v>
      </c>
      <c r="D301" t="s">
        <v>153</v>
      </c>
      <c r="E301" t="s">
        <v>26</v>
      </c>
      <c r="F301" t="s">
        <v>2</v>
      </c>
      <c r="G301" t="s">
        <v>206</v>
      </c>
      <c r="H301" t="s">
        <v>1392</v>
      </c>
      <c r="I301" t="s">
        <v>234</v>
      </c>
      <c r="J301" t="str">
        <f>+VLOOKUP(A301,[1]Buscador!$B:$E,4,0)</f>
        <v>Machala</v>
      </c>
      <c r="K301" t="str">
        <f>+VLOOKUP(A301,[1]Buscador!$B:$F,5,0)</f>
        <v>El Oro</v>
      </c>
      <c r="L301" t="s">
        <v>31</v>
      </c>
      <c r="O301" t="s">
        <v>1581</v>
      </c>
      <c r="P301" t="s">
        <v>730</v>
      </c>
      <c r="Q301" t="s">
        <v>1345</v>
      </c>
      <c r="R301" t="s">
        <v>153</v>
      </c>
      <c r="T301" t="s">
        <v>1588</v>
      </c>
      <c r="V301" t="s">
        <v>1928</v>
      </c>
      <c r="W301">
        <v>-3.2603292549264</v>
      </c>
      <c r="X301">
        <v>-79.959522265011998</v>
      </c>
      <c r="Y301">
        <v>0</v>
      </c>
      <c r="Z301">
        <f>+VLOOKUP(H301,Evalua!$G$2:$H$12,2,0)</f>
        <v>2</v>
      </c>
      <c r="AA301">
        <f>+VLOOKUP(I301,Evalua!$G$2:$H$12,2,0)</f>
        <v>1</v>
      </c>
    </row>
    <row r="302" spans="1:27" x14ac:dyDescent="0.2">
      <c r="A302" s="1" t="s">
        <v>1589</v>
      </c>
      <c r="B302" t="s">
        <v>1590</v>
      </c>
      <c r="C302" t="s">
        <v>1587</v>
      </c>
      <c r="D302" t="s">
        <v>153</v>
      </c>
      <c r="E302" t="s">
        <v>26</v>
      </c>
      <c r="F302" t="s">
        <v>2</v>
      </c>
      <c r="G302" t="s">
        <v>206</v>
      </c>
      <c r="H302" t="s">
        <v>1392</v>
      </c>
      <c r="I302" t="s">
        <v>234</v>
      </c>
      <c r="J302" t="str">
        <f>+VLOOKUP(A302,[1]Buscador!$B:$E,4,0)</f>
        <v>Machala</v>
      </c>
      <c r="K302" t="str">
        <f>+VLOOKUP(A302,[1]Buscador!$B:$F,5,0)</f>
        <v>El Oro</v>
      </c>
      <c r="L302" t="s">
        <v>31</v>
      </c>
      <c r="O302" t="s">
        <v>1581</v>
      </c>
      <c r="P302" t="s">
        <v>730</v>
      </c>
      <c r="Q302" t="s">
        <v>1345</v>
      </c>
      <c r="R302" t="s">
        <v>153</v>
      </c>
      <c r="T302" t="s">
        <v>1591</v>
      </c>
      <c r="V302" t="s">
        <v>1928</v>
      </c>
      <c r="W302">
        <v>-3.2603292549264</v>
      </c>
      <c r="X302">
        <v>-79.959522265011998</v>
      </c>
      <c r="Y302">
        <v>0</v>
      </c>
      <c r="Z302">
        <f>+VLOOKUP(H302,Evalua!$G$2:$H$12,2,0)</f>
        <v>2</v>
      </c>
      <c r="AA302">
        <f>+VLOOKUP(I302,Evalua!$G$2:$H$12,2,0)</f>
        <v>1</v>
      </c>
    </row>
    <row r="303" spans="1:27" x14ac:dyDescent="0.2">
      <c r="A303" s="1" t="s">
        <v>1592</v>
      </c>
      <c r="B303" t="s">
        <v>1345</v>
      </c>
      <c r="C303" t="s">
        <v>1345</v>
      </c>
      <c r="D303" t="s">
        <v>153</v>
      </c>
      <c r="E303" t="s">
        <v>26</v>
      </c>
      <c r="F303" t="s">
        <v>39</v>
      </c>
      <c r="G303" t="s">
        <v>206</v>
      </c>
      <c r="H303" t="s">
        <v>1392</v>
      </c>
      <c r="I303" t="s">
        <v>234</v>
      </c>
      <c r="J303" t="str">
        <f>+VLOOKUP(A303,[1]Buscador!$B:$E,4,0)</f>
        <v>Machala</v>
      </c>
      <c r="K303" t="str">
        <f>+VLOOKUP(A303,[1]Buscador!$B:$F,5,0)</f>
        <v>El Oro</v>
      </c>
      <c r="L303" t="s">
        <v>31</v>
      </c>
      <c r="M303">
        <v>50</v>
      </c>
      <c r="N303">
        <v>10.625</v>
      </c>
      <c r="O303" t="s">
        <v>1581</v>
      </c>
      <c r="P303" t="s">
        <v>730</v>
      </c>
      <c r="Q303" t="s">
        <v>1345</v>
      </c>
      <c r="R303" t="s">
        <v>153</v>
      </c>
      <c r="T303" t="s">
        <v>1593</v>
      </c>
      <c r="V303" t="s">
        <v>1928</v>
      </c>
      <c r="W303">
        <v>-3.2603292549264</v>
      </c>
      <c r="X303">
        <v>-79.959522265011998</v>
      </c>
      <c r="Y303">
        <v>0</v>
      </c>
      <c r="Z303">
        <f>+VLOOKUP(H303,Evalua!$G$2:$H$12,2,0)</f>
        <v>2</v>
      </c>
      <c r="AA303">
        <f>+VLOOKUP(I303,Evalua!$G$2:$H$12,2,0)</f>
        <v>1</v>
      </c>
    </row>
    <row r="304" spans="1:27" x14ac:dyDescent="0.2">
      <c r="A304" s="1" t="s">
        <v>1594</v>
      </c>
      <c r="B304" t="s">
        <v>1595</v>
      </c>
      <c r="C304" t="s">
        <v>1596</v>
      </c>
      <c r="D304" t="s">
        <v>153</v>
      </c>
      <c r="E304" t="s">
        <v>26</v>
      </c>
      <c r="F304" t="s">
        <v>2</v>
      </c>
      <c r="G304" t="s">
        <v>46</v>
      </c>
      <c r="H304" t="s">
        <v>28</v>
      </c>
      <c r="I304" t="s">
        <v>29</v>
      </c>
      <c r="J304" t="str">
        <f>+VLOOKUP(A304,[1]Buscador!$B:$E,4,0)</f>
        <v>Guayaquil</v>
      </c>
      <c r="K304" t="str">
        <f>+VLOOKUP(A304,[1]Buscador!$B:$F,5,0)</f>
        <v>Guayas</v>
      </c>
      <c r="L304" t="s">
        <v>31</v>
      </c>
      <c r="O304" t="s">
        <v>32</v>
      </c>
      <c r="P304" t="s">
        <v>33</v>
      </c>
      <c r="Q304" t="s">
        <v>1350</v>
      </c>
      <c r="R304" t="s">
        <v>153</v>
      </c>
      <c r="T304" t="s">
        <v>1597</v>
      </c>
      <c r="V304" t="s">
        <v>1929</v>
      </c>
      <c r="W304">
        <v>-2.1554236042518999</v>
      </c>
      <c r="X304">
        <v>-79.893033267529006</v>
      </c>
      <c r="Y304">
        <v>0</v>
      </c>
      <c r="Z304">
        <f>+VLOOKUP(H304,Evalua!$G$2:$H$12,2,0)</f>
        <v>1</v>
      </c>
      <c r="AA304">
        <f>+VLOOKUP(I304,Evalua!$G$2:$H$12,2,0)</f>
        <v>2</v>
      </c>
    </row>
    <row r="305" spans="1:27" x14ac:dyDescent="0.2">
      <c r="A305" s="1" t="s">
        <v>1598</v>
      </c>
      <c r="B305" t="s">
        <v>1599</v>
      </c>
      <c r="C305" t="s">
        <v>1596</v>
      </c>
      <c r="D305" t="s">
        <v>153</v>
      </c>
      <c r="E305" t="s">
        <v>26</v>
      </c>
      <c r="F305" t="s">
        <v>2</v>
      </c>
      <c r="G305" t="s">
        <v>46</v>
      </c>
      <c r="H305" t="s">
        <v>28</v>
      </c>
      <c r="I305" t="s">
        <v>29</v>
      </c>
      <c r="J305" t="str">
        <f>+VLOOKUP(A305,[1]Buscador!$B:$E,4,0)</f>
        <v>Guayaquil</v>
      </c>
      <c r="K305" t="str">
        <f>+VLOOKUP(A305,[1]Buscador!$B:$F,5,0)</f>
        <v>Guayas</v>
      </c>
      <c r="L305" t="s">
        <v>31</v>
      </c>
      <c r="O305" t="s">
        <v>32</v>
      </c>
      <c r="P305" t="s">
        <v>33</v>
      </c>
      <c r="Q305" t="s">
        <v>1350</v>
      </c>
      <c r="R305" t="s">
        <v>153</v>
      </c>
      <c r="T305" t="s">
        <v>1600</v>
      </c>
      <c r="V305" t="s">
        <v>1929</v>
      </c>
      <c r="W305">
        <v>-2.1554236042518999</v>
      </c>
      <c r="X305">
        <v>-79.893033267529006</v>
      </c>
      <c r="Y305">
        <v>0</v>
      </c>
      <c r="Z305">
        <f>+VLOOKUP(H305,Evalua!$G$2:$H$12,2,0)</f>
        <v>1</v>
      </c>
      <c r="AA305">
        <f>+VLOOKUP(I305,Evalua!$G$2:$H$12,2,0)</f>
        <v>2</v>
      </c>
    </row>
    <row r="306" spans="1:27" x14ac:dyDescent="0.2">
      <c r="A306" s="1" t="s">
        <v>1601</v>
      </c>
      <c r="B306" t="s">
        <v>1350</v>
      </c>
      <c r="C306" t="s">
        <v>1350</v>
      </c>
      <c r="D306" t="s">
        <v>153</v>
      </c>
      <c r="E306" t="s">
        <v>26</v>
      </c>
      <c r="F306" t="s">
        <v>39</v>
      </c>
      <c r="G306" t="s">
        <v>46</v>
      </c>
      <c r="H306" t="s">
        <v>28</v>
      </c>
      <c r="I306" t="s">
        <v>29</v>
      </c>
      <c r="J306" t="str">
        <f>+VLOOKUP(A306,[1]Buscador!$B:$E,4,0)</f>
        <v>Guayaquil</v>
      </c>
      <c r="K306" t="str">
        <f>+VLOOKUP(A306,[1]Buscador!$B:$F,5,0)</f>
        <v>Guayas</v>
      </c>
      <c r="L306" t="s">
        <v>31</v>
      </c>
      <c r="O306" t="s">
        <v>32</v>
      </c>
      <c r="P306" t="s">
        <v>33</v>
      </c>
      <c r="Q306" t="s">
        <v>1350</v>
      </c>
      <c r="R306" t="s">
        <v>153</v>
      </c>
      <c r="T306" t="s">
        <v>1602</v>
      </c>
      <c r="V306" t="s">
        <v>1929</v>
      </c>
      <c r="W306">
        <v>-2.1554236042518999</v>
      </c>
      <c r="X306">
        <v>-79.893033267529006</v>
      </c>
      <c r="Y306">
        <v>0</v>
      </c>
      <c r="Z306">
        <f>+VLOOKUP(H306,Evalua!$G$2:$H$12,2,0)</f>
        <v>1</v>
      </c>
      <c r="AA306">
        <f>+VLOOKUP(I306,Evalua!$G$2:$H$12,2,0)</f>
        <v>2</v>
      </c>
    </row>
    <row r="307" spans="1:27" x14ac:dyDescent="0.2">
      <c r="A307" s="1" t="s">
        <v>1603</v>
      </c>
      <c r="B307" t="s">
        <v>1604</v>
      </c>
      <c r="C307" t="s">
        <v>1605</v>
      </c>
      <c r="D307" t="s">
        <v>153</v>
      </c>
      <c r="E307" t="s">
        <v>26</v>
      </c>
      <c r="F307" t="s">
        <v>2</v>
      </c>
      <c r="G307" t="s">
        <v>46</v>
      </c>
      <c r="H307" t="s">
        <v>28</v>
      </c>
      <c r="I307" t="s">
        <v>29</v>
      </c>
      <c r="J307" t="str">
        <f>+VLOOKUP(A307,[1]Buscador!$B:$E,4,0)</f>
        <v>Guayaquil</v>
      </c>
      <c r="K307" t="str">
        <f>+VLOOKUP(A307,[1]Buscador!$B:$F,5,0)</f>
        <v>Guayas</v>
      </c>
      <c r="L307" t="s">
        <v>31</v>
      </c>
      <c r="O307" t="s">
        <v>32</v>
      </c>
      <c r="P307" t="s">
        <v>33</v>
      </c>
      <c r="Q307" t="s">
        <v>1355</v>
      </c>
      <c r="R307" t="s">
        <v>153</v>
      </c>
      <c r="T307" t="s">
        <v>1606</v>
      </c>
      <c r="V307" t="s">
        <v>1930</v>
      </c>
      <c r="W307">
        <v>-2.2291479999999999</v>
      </c>
      <c r="X307">
        <v>-79.898456999999993</v>
      </c>
      <c r="Y307">
        <v>0</v>
      </c>
      <c r="Z307">
        <f>+VLOOKUP(H307,Evalua!$G$2:$H$12,2,0)</f>
        <v>1</v>
      </c>
      <c r="AA307">
        <f>+VLOOKUP(I307,Evalua!$G$2:$H$12,2,0)</f>
        <v>2</v>
      </c>
    </row>
    <row r="308" spans="1:27" x14ac:dyDescent="0.2">
      <c r="A308" s="1" t="s">
        <v>1607</v>
      </c>
      <c r="B308" t="s">
        <v>1608</v>
      </c>
      <c r="C308" t="s">
        <v>1605</v>
      </c>
      <c r="D308" t="s">
        <v>153</v>
      </c>
      <c r="E308" t="s">
        <v>26</v>
      </c>
      <c r="F308" t="s">
        <v>2</v>
      </c>
      <c r="G308" t="s">
        <v>46</v>
      </c>
      <c r="H308" t="s">
        <v>28</v>
      </c>
      <c r="I308" t="s">
        <v>29</v>
      </c>
      <c r="J308" t="str">
        <f>+VLOOKUP(A308,[1]Buscador!$B:$E,4,0)</f>
        <v>Guayaquil</v>
      </c>
      <c r="K308" t="str">
        <f>+VLOOKUP(A308,[1]Buscador!$B:$F,5,0)</f>
        <v>Guayas</v>
      </c>
      <c r="L308" t="s">
        <v>31</v>
      </c>
      <c r="O308" t="s">
        <v>32</v>
      </c>
      <c r="P308" t="s">
        <v>33</v>
      </c>
      <c r="Q308" t="s">
        <v>1355</v>
      </c>
      <c r="R308" t="s">
        <v>153</v>
      </c>
      <c r="T308" t="s">
        <v>1609</v>
      </c>
      <c r="V308" t="s">
        <v>1930</v>
      </c>
      <c r="W308">
        <v>-2.2291479999999999</v>
      </c>
      <c r="X308">
        <v>-79.898456999999993</v>
      </c>
      <c r="Y308">
        <v>0</v>
      </c>
      <c r="Z308">
        <f>+VLOOKUP(H308,Evalua!$G$2:$H$12,2,0)</f>
        <v>1</v>
      </c>
      <c r="AA308">
        <f>+VLOOKUP(I308,Evalua!$G$2:$H$12,2,0)</f>
        <v>2</v>
      </c>
    </row>
    <row r="309" spans="1:27" x14ac:dyDescent="0.2">
      <c r="A309" s="1" t="s">
        <v>1610</v>
      </c>
      <c r="B309" t="s">
        <v>1611</v>
      </c>
      <c r="C309" t="s">
        <v>1605</v>
      </c>
      <c r="D309" t="s">
        <v>153</v>
      </c>
      <c r="E309" t="s">
        <v>26</v>
      </c>
      <c r="F309" t="s">
        <v>2</v>
      </c>
      <c r="G309" t="s">
        <v>46</v>
      </c>
      <c r="H309" t="s">
        <v>28</v>
      </c>
      <c r="I309" t="s">
        <v>29</v>
      </c>
      <c r="J309" t="str">
        <f>+VLOOKUP(A309,[1]Buscador!$B:$E,4,0)</f>
        <v>Guayaquil</v>
      </c>
      <c r="K309" t="str">
        <f>+VLOOKUP(A309,[1]Buscador!$B:$F,5,0)</f>
        <v>Guayas</v>
      </c>
      <c r="L309" t="s">
        <v>31</v>
      </c>
      <c r="O309" t="s">
        <v>32</v>
      </c>
      <c r="P309" t="s">
        <v>33</v>
      </c>
      <c r="Q309" t="s">
        <v>1355</v>
      </c>
      <c r="R309" t="s">
        <v>153</v>
      </c>
      <c r="T309" t="s">
        <v>1612</v>
      </c>
      <c r="V309" t="s">
        <v>1930</v>
      </c>
      <c r="W309">
        <v>-2.2291479999999999</v>
      </c>
      <c r="X309">
        <v>-79.898456999999993</v>
      </c>
      <c r="Y309">
        <v>0</v>
      </c>
      <c r="Z309">
        <f>+VLOOKUP(H309,Evalua!$G$2:$H$12,2,0)</f>
        <v>1</v>
      </c>
      <c r="AA309">
        <f>+VLOOKUP(I309,Evalua!$G$2:$H$12,2,0)</f>
        <v>2</v>
      </c>
    </row>
    <row r="310" spans="1:27" x14ac:dyDescent="0.2">
      <c r="A310" s="1" t="s">
        <v>1613</v>
      </c>
      <c r="B310" t="s">
        <v>1355</v>
      </c>
      <c r="C310" t="s">
        <v>1355</v>
      </c>
      <c r="D310" t="s">
        <v>153</v>
      </c>
      <c r="E310" t="s">
        <v>26</v>
      </c>
      <c r="F310" t="s">
        <v>39</v>
      </c>
      <c r="G310" t="s">
        <v>46</v>
      </c>
      <c r="H310" t="s">
        <v>28</v>
      </c>
      <c r="I310" t="s">
        <v>29</v>
      </c>
      <c r="J310" t="str">
        <f>+VLOOKUP(A310,[1]Buscador!$B:$E,4,0)</f>
        <v>Guayaquil</v>
      </c>
      <c r="K310" t="str">
        <f>+VLOOKUP(A310,[1]Buscador!$B:$F,5,0)</f>
        <v>Guayas</v>
      </c>
      <c r="L310" t="s">
        <v>31</v>
      </c>
      <c r="O310" t="s">
        <v>32</v>
      </c>
      <c r="P310" t="s">
        <v>33</v>
      </c>
      <c r="Q310" t="s">
        <v>1355</v>
      </c>
      <c r="R310" t="s">
        <v>153</v>
      </c>
      <c r="T310" t="s">
        <v>1614</v>
      </c>
      <c r="V310" t="s">
        <v>1930</v>
      </c>
      <c r="W310">
        <v>-2.2291479999999999</v>
      </c>
      <c r="X310">
        <v>-79.898456999999993</v>
      </c>
      <c r="Y310">
        <v>0</v>
      </c>
      <c r="Z310">
        <f>+VLOOKUP(H310,Evalua!$G$2:$H$12,2,0)</f>
        <v>1</v>
      </c>
      <c r="AA310">
        <f>+VLOOKUP(I310,Evalua!$G$2:$H$12,2,0)</f>
        <v>2</v>
      </c>
    </row>
    <row r="311" spans="1:27" x14ac:dyDescent="0.2">
      <c r="A311" s="1" t="s">
        <v>1615</v>
      </c>
      <c r="B311" t="s">
        <v>1616</v>
      </c>
      <c r="C311" t="s">
        <v>1617</v>
      </c>
      <c r="D311" t="s">
        <v>153</v>
      </c>
      <c r="E311" t="s">
        <v>26</v>
      </c>
      <c r="F311" t="s">
        <v>2</v>
      </c>
      <c r="G311" t="s">
        <v>46</v>
      </c>
      <c r="H311" t="s">
        <v>28</v>
      </c>
      <c r="I311" t="s">
        <v>29</v>
      </c>
      <c r="J311" t="str">
        <f>+VLOOKUP(A311,[1]Buscador!$B:$E,4,0)</f>
        <v>Guayaquil</v>
      </c>
      <c r="K311" t="str">
        <f>+VLOOKUP(A311,[1]Buscador!$B:$F,5,0)</f>
        <v>Guayas</v>
      </c>
      <c r="L311" t="s">
        <v>31</v>
      </c>
      <c r="O311" t="s">
        <v>32</v>
      </c>
      <c r="P311" t="s">
        <v>33</v>
      </c>
      <c r="Q311" t="s">
        <v>1360</v>
      </c>
      <c r="R311" t="s">
        <v>153</v>
      </c>
      <c r="T311" t="s">
        <v>1618</v>
      </c>
      <c r="V311" t="s">
        <v>1931</v>
      </c>
      <c r="W311">
        <v>-2.1093123468677999</v>
      </c>
      <c r="X311">
        <v>-79.948822486490997</v>
      </c>
      <c r="Y311">
        <v>0</v>
      </c>
      <c r="Z311">
        <f>+VLOOKUP(H311,Evalua!$G$2:$H$12,2,0)</f>
        <v>1</v>
      </c>
      <c r="AA311">
        <f>+VLOOKUP(I311,Evalua!$G$2:$H$12,2,0)</f>
        <v>2</v>
      </c>
    </row>
    <row r="312" spans="1:27" x14ac:dyDescent="0.2">
      <c r="A312" s="1" t="s">
        <v>1619</v>
      </c>
      <c r="B312" t="s">
        <v>1620</v>
      </c>
      <c r="C312" t="s">
        <v>1617</v>
      </c>
      <c r="D312" t="s">
        <v>153</v>
      </c>
      <c r="E312" t="s">
        <v>26</v>
      </c>
      <c r="F312" t="s">
        <v>2</v>
      </c>
      <c r="G312" t="s">
        <v>46</v>
      </c>
      <c r="H312" t="s">
        <v>28</v>
      </c>
      <c r="I312" t="s">
        <v>29</v>
      </c>
      <c r="J312" t="str">
        <f>+VLOOKUP(A312,[1]Buscador!$B:$E,4,0)</f>
        <v>Guayaquil</v>
      </c>
      <c r="K312" t="str">
        <f>+VLOOKUP(A312,[1]Buscador!$B:$F,5,0)</f>
        <v>Guayas</v>
      </c>
      <c r="L312" t="s">
        <v>31</v>
      </c>
      <c r="O312" t="s">
        <v>32</v>
      </c>
      <c r="P312" t="s">
        <v>33</v>
      </c>
      <c r="Q312" t="s">
        <v>1360</v>
      </c>
      <c r="R312" t="s">
        <v>153</v>
      </c>
      <c r="T312" t="s">
        <v>1621</v>
      </c>
      <c r="V312" t="s">
        <v>1931</v>
      </c>
      <c r="W312">
        <v>-2.1093123468677999</v>
      </c>
      <c r="X312">
        <v>-79.948822486490997</v>
      </c>
      <c r="Y312">
        <v>0</v>
      </c>
      <c r="Z312">
        <f>+VLOOKUP(H312,Evalua!$G$2:$H$12,2,0)</f>
        <v>1</v>
      </c>
      <c r="AA312">
        <f>+VLOOKUP(I312,Evalua!$G$2:$H$12,2,0)</f>
        <v>2</v>
      </c>
    </row>
    <row r="313" spans="1:27" x14ac:dyDescent="0.2">
      <c r="A313" s="1" t="s">
        <v>1622</v>
      </c>
      <c r="B313" t="s">
        <v>1360</v>
      </c>
      <c r="C313" t="s">
        <v>1360</v>
      </c>
      <c r="D313" t="s">
        <v>153</v>
      </c>
      <c r="E313" t="s">
        <v>26</v>
      </c>
      <c r="F313" t="s">
        <v>64</v>
      </c>
      <c r="G313" t="s">
        <v>46</v>
      </c>
      <c r="H313" t="s">
        <v>28</v>
      </c>
      <c r="I313" t="s">
        <v>29</v>
      </c>
      <c r="J313" t="str">
        <f>+VLOOKUP(A313,[1]Buscador!$B:$E,4,0)</f>
        <v>Guayaquil</v>
      </c>
      <c r="K313" t="str">
        <f>+VLOOKUP(A313,[1]Buscador!$B:$F,5,0)</f>
        <v>Guayas</v>
      </c>
      <c r="L313" t="s">
        <v>31</v>
      </c>
      <c r="O313" t="s">
        <v>32</v>
      </c>
      <c r="P313" t="s">
        <v>33</v>
      </c>
      <c r="Q313" t="s">
        <v>1360</v>
      </c>
      <c r="R313" t="s">
        <v>153</v>
      </c>
      <c r="T313" t="s">
        <v>1623</v>
      </c>
      <c r="V313" t="s">
        <v>1931</v>
      </c>
      <c r="W313">
        <v>-2.1093123468677999</v>
      </c>
      <c r="X313">
        <v>-79.948822486490997</v>
      </c>
      <c r="Y313">
        <v>0</v>
      </c>
      <c r="Z313">
        <f>+VLOOKUP(H313,Evalua!$G$2:$H$12,2,0)</f>
        <v>1</v>
      </c>
      <c r="AA313">
        <f>+VLOOKUP(I313,Evalua!$G$2:$H$12,2,0)</f>
        <v>2</v>
      </c>
    </row>
    <row r="314" spans="1:27" x14ac:dyDescent="0.2">
      <c r="A314" s="1" t="s">
        <v>1624</v>
      </c>
      <c r="B314" t="s">
        <v>1625</v>
      </c>
      <c r="C314" t="s">
        <v>1626</v>
      </c>
      <c r="D314" t="s">
        <v>153</v>
      </c>
      <c r="E314" t="s">
        <v>26</v>
      </c>
      <c r="F314" t="s">
        <v>2</v>
      </c>
      <c r="G314" t="s">
        <v>170</v>
      </c>
      <c r="H314" t="s">
        <v>81</v>
      </c>
      <c r="I314" t="s">
        <v>29</v>
      </c>
      <c r="J314" t="str">
        <f>+VLOOKUP(A314,[1]Buscador!$B:$E,4,0)</f>
        <v>Manta</v>
      </c>
      <c r="K314" t="str">
        <f>+VLOOKUP(A314,[1]Buscador!$B:$F,5,0)</f>
        <v>Manabí</v>
      </c>
      <c r="L314" t="s">
        <v>31</v>
      </c>
      <c r="O314" t="s">
        <v>82</v>
      </c>
      <c r="P314" t="s">
        <v>83</v>
      </c>
      <c r="Q314" t="s">
        <v>298</v>
      </c>
      <c r="R314" t="s">
        <v>153</v>
      </c>
      <c r="T314" t="s">
        <v>1627</v>
      </c>
      <c r="V314" t="s">
        <v>1968</v>
      </c>
      <c r="W314">
        <v>-0.94415985091909804</v>
      </c>
      <c r="X314">
        <v>-80.723603146460604</v>
      </c>
      <c r="Y314">
        <v>0</v>
      </c>
      <c r="Z314">
        <f>+VLOOKUP(H314,Evalua!$G$2:$H$12,2,0)</f>
        <v>3</v>
      </c>
      <c r="AA314">
        <f>+VLOOKUP(I314,Evalua!$G$2:$H$12,2,0)</f>
        <v>2</v>
      </c>
    </row>
    <row r="315" spans="1:27" x14ac:dyDescent="0.2">
      <c r="A315" s="1" t="s">
        <v>1628</v>
      </c>
      <c r="B315" t="s">
        <v>298</v>
      </c>
      <c r="C315" t="s">
        <v>298</v>
      </c>
      <c r="D315" t="s">
        <v>153</v>
      </c>
      <c r="E315" t="s">
        <v>26</v>
      </c>
      <c r="F315" t="s">
        <v>39</v>
      </c>
      <c r="G315" t="s">
        <v>170</v>
      </c>
      <c r="H315" t="s">
        <v>81</v>
      </c>
      <c r="I315" t="s">
        <v>29</v>
      </c>
      <c r="J315" t="str">
        <f>+VLOOKUP(A315,[1]Buscador!$B:$E,4,0)</f>
        <v>Manta</v>
      </c>
      <c r="K315" t="str">
        <f>+VLOOKUP(A315,[1]Buscador!$B:$F,5,0)</f>
        <v>Manabí</v>
      </c>
      <c r="L315" t="s">
        <v>31</v>
      </c>
      <c r="M315">
        <v>50</v>
      </c>
      <c r="N315">
        <v>4.25</v>
      </c>
      <c r="O315" t="s">
        <v>82</v>
      </c>
      <c r="P315" t="s">
        <v>83</v>
      </c>
      <c r="Q315" t="s">
        <v>298</v>
      </c>
      <c r="R315" t="s">
        <v>153</v>
      </c>
      <c r="T315" t="s">
        <v>1629</v>
      </c>
      <c r="V315" t="s">
        <v>1932</v>
      </c>
      <c r="W315">
        <v>-0.94425921393837997</v>
      </c>
      <c r="X315">
        <v>-80.723623947716007</v>
      </c>
      <c r="Y315">
        <v>0</v>
      </c>
      <c r="Z315">
        <f>+VLOOKUP(H315,Evalua!$G$2:$H$12,2,0)</f>
        <v>3</v>
      </c>
      <c r="AA315">
        <f>+VLOOKUP(I315,Evalua!$G$2:$H$12,2,0)</f>
        <v>2</v>
      </c>
    </row>
    <row r="316" spans="1:27" x14ac:dyDescent="0.2">
      <c r="A316" s="1" t="s">
        <v>1630</v>
      </c>
      <c r="B316" t="s">
        <v>1631</v>
      </c>
      <c r="C316" t="s">
        <v>1632</v>
      </c>
      <c r="D316" t="s">
        <v>153</v>
      </c>
      <c r="E316" t="s">
        <v>26</v>
      </c>
      <c r="F316" t="s">
        <v>2</v>
      </c>
      <c r="G316" t="s">
        <v>46</v>
      </c>
      <c r="H316" t="s">
        <v>28</v>
      </c>
      <c r="I316" t="s">
        <v>29</v>
      </c>
      <c r="J316" t="str">
        <f>+VLOOKUP(A316,[1]Buscador!$B:$E,4,0)</f>
        <v>Coronel Marcelino Maridueña</v>
      </c>
      <c r="K316" t="str">
        <f>+VLOOKUP(A316,[1]Buscador!$B:$F,5,0)</f>
        <v>Guayas</v>
      </c>
      <c r="L316" t="s">
        <v>31</v>
      </c>
      <c r="O316" t="s">
        <v>32</v>
      </c>
      <c r="P316" t="s">
        <v>33</v>
      </c>
      <c r="Q316" t="s">
        <v>1371</v>
      </c>
      <c r="R316" t="s">
        <v>153</v>
      </c>
      <c r="T316" t="s">
        <v>1633</v>
      </c>
      <c r="V316" t="s">
        <v>1933</v>
      </c>
      <c r="W316">
        <v>-2.2105501598944999</v>
      </c>
      <c r="X316">
        <v>-79.437369056319</v>
      </c>
      <c r="Y316">
        <v>0</v>
      </c>
      <c r="Z316">
        <f>+VLOOKUP(H316,Evalua!$G$2:$H$12,2,0)</f>
        <v>1</v>
      </c>
      <c r="AA316">
        <f>+VLOOKUP(I316,Evalua!$G$2:$H$12,2,0)</f>
        <v>2</v>
      </c>
    </row>
    <row r="317" spans="1:27" x14ac:dyDescent="0.2">
      <c r="A317" s="1" t="s">
        <v>1634</v>
      </c>
      <c r="B317" t="s">
        <v>1371</v>
      </c>
      <c r="C317" t="s">
        <v>1371</v>
      </c>
      <c r="D317" t="s">
        <v>153</v>
      </c>
      <c r="E317" t="s">
        <v>26</v>
      </c>
      <c r="F317" t="s">
        <v>64</v>
      </c>
      <c r="G317" t="s">
        <v>46</v>
      </c>
      <c r="H317" t="s">
        <v>28</v>
      </c>
      <c r="I317" t="s">
        <v>29</v>
      </c>
      <c r="J317" t="str">
        <f>+VLOOKUP(A317,[1]Buscador!$B:$E,4,0)</f>
        <v>Coronel Marcelino Maridueña</v>
      </c>
      <c r="K317" t="str">
        <f>+VLOOKUP(A317,[1]Buscador!$B:$F,5,0)</f>
        <v>Guayas</v>
      </c>
      <c r="L317" t="s">
        <v>31</v>
      </c>
      <c r="O317" t="s">
        <v>32</v>
      </c>
      <c r="P317" t="s">
        <v>33</v>
      </c>
      <c r="Q317" t="s">
        <v>1371</v>
      </c>
      <c r="R317" t="s">
        <v>153</v>
      </c>
      <c r="T317" t="s">
        <v>1635</v>
      </c>
      <c r="V317" t="s">
        <v>1933</v>
      </c>
      <c r="W317">
        <v>-2.2105501598944999</v>
      </c>
      <c r="X317">
        <v>-79.437369056319</v>
      </c>
      <c r="Y317">
        <v>0</v>
      </c>
      <c r="Z317">
        <f>+VLOOKUP(H317,Evalua!$G$2:$H$12,2,0)</f>
        <v>1</v>
      </c>
      <c r="AA317">
        <f>+VLOOKUP(I317,Evalua!$G$2:$H$12,2,0)</f>
        <v>2</v>
      </c>
    </row>
    <row r="318" spans="1:27" x14ac:dyDescent="0.2">
      <c r="A318" s="1" t="s">
        <v>1636</v>
      </c>
      <c r="B318" t="s">
        <v>1637</v>
      </c>
      <c r="C318" t="s">
        <v>1309</v>
      </c>
      <c r="D318" t="s">
        <v>153</v>
      </c>
      <c r="E318" t="s">
        <v>26</v>
      </c>
      <c r="F318" t="s">
        <v>2</v>
      </c>
      <c r="G318" t="s">
        <v>46</v>
      </c>
      <c r="H318" t="s">
        <v>28</v>
      </c>
      <c r="I318" t="s">
        <v>29</v>
      </c>
      <c r="J318" t="str">
        <f>+VLOOKUP(A318,[1]Buscador!$B:$E,4,0)</f>
        <v>Guayaquil</v>
      </c>
      <c r="K318" t="str">
        <f>+VLOOKUP(A318,[1]Buscador!$B:$F,5,0)</f>
        <v>Guayas</v>
      </c>
      <c r="L318" t="s">
        <v>31</v>
      </c>
      <c r="O318" t="s">
        <v>32</v>
      </c>
      <c r="P318" t="s">
        <v>33</v>
      </c>
      <c r="Q318" t="s">
        <v>1377</v>
      </c>
      <c r="R318" t="s">
        <v>153</v>
      </c>
      <c r="T318" t="s">
        <v>1638</v>
      </c>
      <c r="V318" t="s">
        <v>1934</v>
      </c>
      <c r="W318">
        <v>-2.1899148432515001</v>
      </c>
      <c r="X318">
        <v>-79.879941750821999</v>
      </c>
      <c r="Y318">
        <v>0</v>
      </c>
      <c r="Z318">
        <f>+VLOOKUP(H318,Evalua!$G$2:$H$12,2,0)</f>
        <v>1</v>
      </c>
      <c r="AA318">
        <f>+VLOOKUP(I318,Evalua!$G$2:$H$12,2,0)</f>
        <v>2</v>
      </c>
    </row>
    <row r="319" spans="1:27" x14ac:dyDescent="0.2">
      <c r="A319" s="1" t="s">
        <v>1639</v>
      </c>
      <c r="B319" t="s">
        <v>1640</v>
      </c>
      <c r="C319" t="s">
        <v>1309</v>
      </c>
      <c r="D319" t="s">
        <v>153</v>
      </c>
      <c r="E319" t="s">
        <v>26</v>
      </c>
      <c r="F319" t="s">
        <v>2</v>
      </c>
      <c r="G319" t="s">
        <v>46</v>
      </c>
      <c r="H319" t="s">
        <v>28</v>
      </c>
      <c r="I319" t="s">
        <v>29</v>
      </c>
      <c r="J319" t="str">
        <f>+VLOOKUP(A319,[1]Buscador!$B:$E,4,0)</f>
        <v>Guayaquil</v>
      </c>
      <c r="K319" t="str">
        <f>+VLOOKUP(A319,[1]Buscador!$B:$F,5,0)</f>
        <v>Guayas</v>
      </c>
      <c r="L319" t="s">
        <v>31</v>
      </c>
      <c r="O319" t="s">
        <v>32</v>
      </c>
      <c r="P319" t="s">
        <v>33</v>
      </c>
      <c r="Q319" t="s">
        <v>1377</v>
      </c>
      <c r="R319" t="s">
        <v>153</v>
      </c>
      <c r="T319" t="s">
        <v>1641</v>
      </c>
      <c r="V319" t="s">
        <v>1934</v>
      </c>
      <c r="W319">
        <v>-2.1899148432515001</v>
      </c>
      <c r="X319">
        <v>-79.879941750821999</v>
      </c>
      <c r="Y319">
        <v>0</v>
      </c>
      <c r="Z319">
        <f>+VLOOKUP(H319,Evalua!$G$2:$H$12,2,0)</f>
        <v>1</v>
      </c>
      <c r="AA319">
        <f>+VLOOKUP(I319,Evalua!$G$2:$H$12,2,0)</f>
        <v>2</v>
      </c>
    </row>
    <row r="320" spans="1:27" x14ac:dyDescent="0.2">
      <c r="A320" s="1" t="s">
        <v>1642</v>
      </c>
      <c r="B320" t="s">
        <v>1377</v>
      </c>
      <c r="C320" t="s">
        <v>1377</v>
      </c>
      <c r="D320" t="s">
        <v>153</v>
      </c>
      <c r="E320" t="s">
        <v>26</v>
      </c>
      <c r="F320" t="s">
        <v>39</v>
      </c>
      <c r="G320" t="s">
        <v>46</v>
      </c>
      <c r="H320" t="s">
        <v>28</v>
      </c>
      <c r="I320" t="s">
        <v>29</v>
      </c>
      <c r="J320" t="str">
        <f>+VLOOKUP(A320,[1]Buscador!$B:$E,4,0)</f>
        <v>Guayaquil</v>
      </c>
      <c r="K320" t="str">
        <f>+VLOOKUP(A320,[1]Buscador!$B:$F,5,0)</f>
        <v>Guayas</v>
      </c>
      <c r="L320" t="s">
        <v>31</v>
      </c>
      <c r="M320">
        <v>1500</v>
      </c>
      <c r="N320">
        <v>14.16666666666667</v>
      </c>
      <c r="O320" t="s">
        <v>32</v>
      </c>
      <c r="P320" t="s">
        <v>33</v>
      </c>
      <c r="Q320" t="s">
        <v>1377</v>
      </c>
      <c r="R320" t="s">
        <v>153</v>
      </c>
      <c r="T320" t="s">
        <v>1643</v>
      </c>
      <c r="V320" t="s">
        <v>1934</v>
      </c>
      <c r="W320">
        <v>-2.1899148432515001</v>
      </c>
      <c r="X320">
        <v>-79.879941750821999</v>
      </c>
      <c r="Y320">
        <v>0</v>
      </c>
      <c r="Z320">
        <f>+VLOOKUP(H320,Evalua!$G$2:$H$12,2,0)</f>
        <v>1</v>
      </c>
      <c r="AA320">
        <f>+VLOOKUP(I320,Evalua!$G$2:$H$12,2,0)</f>
        <v>2</v>
      </c>
    </row>
    <row r="321" spans="1:27" x14ac:dyDescent="0.2">
      <c r="A321" s="1" t="s">
        <v>1644</v>
      </c>
      <c r="B321" t="s">
        <v>1645</v>
      </c>
      <c r="C321" t="s">
        <v>1646</v>
      </c>
      <c r="D321" t="s">
        <v>153</v>
      </c>
      <c r="E321" t="s">
        <v>26</v>
      </c>
      <c r="F321" t="s">
        <v>2</v>
      </c>
      <c r="G321" t="s">
        <v>46</v>
      </c>
      <c r="H321" t="s">
        <v>28</v>
      </c>
      <c r="I321" t="s">
        <v>29</v>
      </c>
      <c r="J321" t="str">
        <f>+VLOOKUP(A321,[1]Buscador!$B:$E,4,0)</f>
        <v>Guayaquil</v>
      </c>
      <c r="K321" t="str">
        <f>+VLOOKUP(A321,[1]Buscador!$B:$F,5,0)</f>
        <v>Guayas</v>
      </c>
      <c r="L321" t="s">
        <v>153</v>
      </c>
      <c r="O321" t="s">
        <v>32</v>
      </c>
      <c r="P321" t="s">
        <v>33</v>
      </c>
      <c r="Q321" t="s">
        <v>1382</v>
      </c>
      <c r="R321" t="s">
        <v>153</v>
      </c>
      <c r="T321" t="s">
        <v>1647</v>
      </c>
      <c r="V321" t="s">
        <v>1935</v>
      </c>
      <c r="W321">
        <v>-2.1931403563253</v>
      </c>
      <c r="X321">
        <v>-79.888195372799004</v>
      </c>
      <c r="Y321">
        <v>0</v>
      </c>
      <c r="Z321">
        <f>+VLOOKUP(H321,Evalua!$G$2:$H$12,2,0)</f>
        <v>1</v>
      </c>
      <c r="AA321">
        <f>+VLOOKUP(I321,Evalua!$G$2:$H$12,2,0)</f>
        <v>2</v>
      </c>
    </row>
    <row r="322" spans="1:27" x14ac:dyDescent="0.2">
      <c r="A322" s="1" t="s">
        <v>1648</v>
      </c>
      <c r="B322" t="s">
        <v>1382</v>
      </c>
      <c r="C322" t="s">
        <v>1382</v>
      </c>
      <c r="D322" t="s">
        <v>153</v>
      </c>
      <c r="E322" t="s">
        <v>26</v>
      </c>
      <c r="F322" t="s">
        <v>39</v>
      </c>
      <c r="G322" t="s">
        <v>46</v>
      </c>
      <c r="H322" t="s">
        <v>28</v>
      </c>
      <c r="I322" t="s">
        <v>29</v>
      </c>
      <c r="J322" t="str">
        <f>+VLOOKUP(A322,[1]Buscador!$B:$E,4,0)</f>
        <v>Guayaquil</v>
      </c>
      <c r="K322" t="str">
        <f>+VLOOKUP(A322,[1]Buscador!$B:$F,5,0)</f>
        <v>Guayas</v>
      </c>
      <c r="L322" t="s">
        <v>31</v>
      </c>
      <c r="M322">
        <v>5</v>
      </c>
      <c r="N322">
        <v>8.5</v>
      </c>
      <c r="O322" t="s">
        <v>32</v>
      </c>
      <c r="P322" t="s">
        <v>33</v>
      </c>
      <c r="Q322" t="s">
        <v>1382</v>
      </c>
      <c r="R322" t="s">
        <v>153</v>
      </c>
      <c r="T322" t="s">
        <v>1649</v>
      </c>
      <c r="V322" t="s">
        <v>1935</v>
      </c>
      <c r="W322">
        <v>-2.1931403563253</v>
      </c>
      <c r="X322">
        <v>-79.888195372799004</v>
      </c>
      <c r="Y322">
        <v>0</v>
      </c>
      <c r="Z322">
        <f>+VLOOKUP(H322,Evalua!$G$2:$H$12,2,0)</f>
        <v>1</v>
      </c>
      <c r="AA322">
        <f>+VLOOKUP(I322,Evalua!$G$2:$H$12,2,0)</f>
        <v>2</v>
      </c>
    </row>
    <row r="323" spans="1:27" x14ac:dyDescent="0.2">
      <c r="A323" s="1" t="s">
        <v>1650</v>
      </c>
      <c r="B323" t="s">
        <v>1651</v>
      </c>
      <c r="C323" t="s">
        <v>1632</v>
      </c>
      <c r="D323" t="s">
        <v>153</v>
      </c>
      <c r="E323" t="s">
        <v>26</v>
      </c>
      <c r="F323" t="s">
        <v>2</v>
      </c>
      <c r="G323" t="s">
        <v>46</v>
      </c>
      <c r="H323" t="s">
        <v>123</v>
      </c>
      <c r="I323" t="s">
        <v>29</v>
      </c>
      <c r="J323" t="str">
        <f>+VLOOKUP(A323,[1]Buscador!$B:$E,4,0)</f>
        <v>Milagro</v>
      </c>
      <c r="K323" t="str">
        <f>+VLOOKUP(A323,[1]Buscador!$B:$F,5,0)</f>
        <v>Guayas</v>
      </c>
      <c r="L323" t="s">
        <v>31</v>
      </c>
      <c r="O323" t="s">
        <v>125</v>
      </c>
      <c r="P323" t="s">
        <v>126</v>
      </c>
      <c r="Q323" t="s">
        <v>304</v>
      </c>
      <c r="R323" t="s">
        <v>153</v>
      </c>
      <c r="T323" t="s">
        <v>1652</v>
      </c>
      <c r="V323" t="s">
        <v>1936</v>
      </c>
      <c r="W323">
        <v>-2.1288529999999999</v>
      </c>
      <c r="X323">
        <v>-79.591199000000003</v>
      </c>
      <c r="Y323">
        <v>0</v>
      </c>
      <c r="Z323">
        <f>+VLOOKUP(H323,Evalua!$G$2:$H$12,2,0)</f>
        <v>4</v>
      </c>
      <c r="AA323">
        <f>+VLOOKUP(I323,Evalua!$G$2:$H$12,2,0)</f>
        <v>2</v>
      </c>
    </row>
    <row r="324" spans="1:27" x14ac:dyDescent="0.2">
      <c r="A324" s="1" t="s">
        <v>1653</v>
      </c>
      <c r="B324" t="s">
        <v>1654</v>
      </c>
      <c r="C324" t="s">
        <v>1632</v>
      </c>
      <c r="D324" t="s">
        <v>153</v>
      </c>
      <c r="E324" t="s">
        <v>26</v>
      </c>
      <c r="F324" t="s">
        <v>2</v>
      </c>
      <c r="G324" t="s">
        <v>46</v>
      </c>
      <c r="H324" t="s">
        <v>123</v>
      </c>
      <c r="I324" t="s">
        <v>29</v>
      </c>
      <c r="J324" t="str">
        <f>+VLOOKUP(A324,[1]Buscador!$B:$E,4,0)</f>
        <v>Milagro</v>
      </c>
      <c r="K324" t="str">
        <f>+VLOOKUP(A324,[1]Buscador!$B:$F,5,0)</f>
        <v>Guayas</v>
      </c>
      <c r="L324" t="s">
        <v>31</v>
      </c>
      <c r="O324" t="s">
        <v>125</v>
      </c>
      <c r="P324" t="s">
        <v>126</v>
      </c>
      <c r="Q324" t="s">
        <v>304</v>
      </c>
      <c r="R324" t="s">
        <v>153</v>
      </c>
      <c r="T324" t="s">
        <v>1655</v>
      </c>
      <c r="V324" t="s">
        <v>1936</v>
      </c>
      <c r="W324">
        <v>-2.1288529999999999</v>
      </c>
      <c r="X324">
        <v>-79.591199000000003</v>
      </c>
      <c r="Y324">
        <v>0</v>
      </c>
      <c r="Z324">
        <f>+VLOOKUP(H324,Evalua!$G$2:$H$12,2,0)</f>
        <v>4</v>
      </c>
      <c r="AA324">
        <f>+VLOOKUP(I324,Evalua!$G$2:$H$12,2,0)</f>
        <v>2</v>
      </c>
    </row>
    <row r="325" spans="1:27" x14ac:dyDescent="0.2">
      <c r="A325" s="1" t="s">
        <v>1656</v>
      </c>
      <c r="B325" t="s">
        <v>304</v>
      </c>
      <c r="C325" t="s">
        <v>304</v>
      </c>
      <c r="D325" t="s">
        <v>1970</v>
      </c>
      <c r="E325" t="s">
        <v>26</v>
      </c>
      <c r="F325" t="s">
        <v>39</v>
      </c>
      <c r="G325" t="s">
        <v>46</v>
      </c>
      <c r="H325" t="s">
        <v>123</v>
      </c>
      <c r="I325" t="s">
        <v>29</v>
      </c>
      <c r="J325" t="str">
        <f>+VLOOKUP(A325,[1]Buscador!$B:$E,4,0)</f>
        <v>Milagro</v>
      </c>
      <c r="K325" t="str">
        <f>+VLOOKUP(A325,[1]Buscador!$B:$F,5,0)</f>
        <v>Guayas</v>
      </c>
      <c r="L325" t="s">
        <v>31</v>
      </c>
      <c r="M325">
        <v>20</v>
      </c>
      <c r="N325">
        <v>6.8</v>
      </c>
      <c r="O325" t="s">
        <v>125</v>
      </c>
      <c r="P325" t="s">
        <v>126</v>
      </c>
      <c r="Q325" t="s">
        <v>304</v>
      </c>
      <c r="R325" t="s">
        <v>153</v>
      </c>
      <c r="T325" t="s">
        <v>1657</v>
      </c>
      <c r="V325" t="s">
        <v>1936</v>
      </c>
      <c r="W325">
        <v>-2.1288529999999999</v>
      </c>
      <c r="X325">
        <v>-79.591199000000003</v>
      </c>
      <c r="Y325">
        <v>0</v>
      </c>
      <c r="Z325">
        <f>+VLOOKUP(H325,Evalua!$G$2:$H$12,2,0)</f>
        <v>4</v>
      </c>
      <c r="AA325">
        <f>+VLOOKUP(I325,Evalua!$G$2:$H$12,2,0)</f>
        <v>2</v>
      </c>
    </row>
    <row r="326" spans="1:27" x14ac:dyDescent="0.2">
      <c r="A326" s="1" t="s">
        <v>1658</v>
      </c>
      <c r="B326" t="s">
        <v>1112</v>
      </c>
      <c r="C326" t="s">
        <v>1112</v>
      </c>
      <c r="D326" t="s">
        <v>1970</v>
      </c>
      <c r="E326" t="s">
        <v>26</v>
      </c>
      <c r="F326" t="s">
        <v>64</v>
      </c>
      <c r="G326" t="s">
        <v>46</v>
      </c>
      <c r="H326" t="s">
        <v>28</v>
      </c>
      <c r="I326" t="s">
        <v>29</v>
      </c>
      <c r="J326" t="str">
        <f>+VLOOKUP(A326,[1]Buscador!$B:$E,4,0)</f>
        <v>Montañita</v>
      </c>
      <c r="K326" t="str">
        <f>+VLOOKUP(A326,[1]Buscador!$B:$F,5,0)</f>
        <v>Santa Elena</v>
      </c>
      <c r="L326" t="s">
        <v>31</v>
      </c>
      <c r="M326">
        <v>5</v>
      </c>
      <c r="N326">
        <v>2.125</v>
      </c>
      <c r="O326" t="s">
        <v>32</v>
      </c>
      <c r="P326" t="s">
        <v>33</v>
      </c>
      <c r="Q326" t="s">
        <v>1112</v>
      </c>
      <c r="R326" t="s">
        <v>1922</v>
      </c>
      <c r="T326" t="s">
        <v>1659</v>
      </c>
      <c r="V326" t="s">
        <v>582</v>
      </c>
      <c r="W326">
        <v>-1.8266960736485001</v>
      </c>
      <c r="X326">
        <v>-80.753190150188004</v>
      </c>
      <c r="Y326">
        <v>0</v>
      </c>
      <c r="Z326">
        <f>+VLOOKUP(H326,Evalua!$G$2:$H$12,2,0)</f>
        <v>1</v>
      </c>
      <c r="AA326">
        <f>+VLOOKUP(I326,Evalua!$G$2:$H$12,2,0)</f>
        <v>2</v>
      </c>
    </row>
    <row r="327" spans="1:27" x14ac:dyDescent="0.2">
      <c r="A327" s="1" t="s">
        <v>1660</v>
      </c>
      <c r="B327" t="s">
        <v>1661</v>
      </c>
      <c r="C327" t="s">
        <v>1398</v>
      </c>
      <c r="D327" t="s">
        <v>153</v>
      </c>
      <c r="E327" t="s">
        <v>26</v>
      </c>
      <c r="F327" t="s">
        <v>2</v>
      </c>
      <c r="G327" t="s">
        <v>46</v>
      </c>
      <c r="H327" t="s">
        <v>81</v>
      </c>
      <c r="I327" t="s">
        <v>234</v>
      </c>
      <c r="J327" t="str">
        <f>+VLOOKUP(A327,[1]Buscador!$B:$E,4,0)</f>
        <v>Guayaquil</v>
      </c>
      <c r="K327" t="str">
        <f>+VLOOKUP(A327,[1]Buscador!$B:$F,5,0)</f>
        <v>Guayas</v>
      </c>
      <c r="L327" t="s">
        <v>31</v>
      </c>
      <c r="O327" t="s">
        <v>235</v>
      </c>
      <c r="P327" t="s">
        <v>33</v>
      </c>
      <c r="Q327" t="s">
        <v>1398</v>
      </c>
      <c r="R327" t="s">
        <v>153</v>
      </c>
      <c r="T327" t="s">
        <v>1662</v>
      </c>
      <c r="V327" t="s">
        <v>1937</v>
      </c>
      <c r="W327">
        <v>-2.0986220000000002</v>
      </c>
      <c r="X327">
        <v>-79.936397999999997</v>
      </c>
      <c r="Y327">
        <v>0</v>
      </c>
      <c r="Z327">
        <f>+VLOOKUP(H327,Evalua!$G$2:$H$12,2,0)</f>
        <v>3</v>
      </c>
      <c r="AA327">
        <f>+VLOOKUP(I327,Evalua!$G$2:$H$12,2,0)</f>
        <v>1</v>
      </c>
    </row>
    <row r="328" spans="1:27" x14ac:dyDescent="0.2">
      <c r="A328" s="1" t="s">
        <v>1663</v>
      </c>
      <c r="B328" t="s">
        <v>1664</v>
      </c>
      <c r="C328" t="s">
        <v>1398</v>
      </c>
      <c r="D328" t="s">
        <v>153</v>
      </c>
      <c r="E328" t="s">
        <v>26</v>
      </c>
      <c r="F328" t="s">
        <v>2</v>
      </c>
      <c r="G328" t="s">
        <v>46</v>
      </c>
      <c r="H328" t="s">
        <v>81</v>
      </c>
      <c r="I328" t="s">
        <v>234</v>
      </c>
      <c r="J328" t="str">
        <f>+VLOOKUP(A328,[1]Buscador!$B:$E,4,0)</f>
        <v>Guayaquil</v>
      </c>
      <c r="K328" t="str">
        <f>+VLOOKUP(A328,[1]Buscador!$B:$F,5,0)</f>
        <v>Guayas</v>
      </c>
      <c r="L328" t="s">
        <v>31</v>
      </c>
      <c r="O328" t="s">
        <v>235</v>
      </c>
      <c r="P328" t="s">
        <v>33</v>
      </c>
      <c r="Q328" t="s">
        <v>1398</v>
      </c>
      <c r="R328" t="s">
        <v>153</v>
      </c>
      <c r="T328" t="s">
        <v>1665</v>
      </c>
      <c r="V328" t="s">
        <v>1937</v>
      </c>
      <c r="W328">
        <v>-2.0986220000000002</v>
      </c>
      <c r="X328">
        <v>-79.936397999999997</v>
      </c>
      <c r="Y328">
        <v>0</v>
      </c>
      <c r="Z328">
        <f>+VLOOKUP(H328,Evalua!$G$2:$H$12,2,0)</f>
        <v>3</v>
      </c>
      <c r="AA328">
        <f>+VLOOKUP(I328,Evalua!$G$2:$H$12,2,0)</f>
        <v>1</v>
      </c>
    </row>
    <row r="329" spans="1:27" x14ac:dyDescent="0.2">
      <c r="A329" s="1" t="s">
        <v>1666</v>
      </c>
      <c r="B329" t="s">
        <v>1398</v>
      </c>
      <c r="C329" t="s">
        <v>1398</v>
      </c>
      <c r="D329" t="s">
        <v>153</v>
      </c>
      <c r="E329" t="s">
        <v>26</v>
      </c>
      <c r="F329" t="s">
        <v>39</v>
      </c>
      <c r="G329" t="s">
        <v>46</v>
      </c>
      <c r="H329" t="s">
        <v>81</v>
      </c>
      <c r="I329" t="s">
        <v>234</v>
      </c>
      <c r="J329" t="str">
        <f>+VLOOKUP(A329,[1]Buscador!$B:$E,4,0)</f>
        <v>Guayaquil</v>
      </c>
      <c r="K329" t="str">
        <f>+VLOOKUP(A329,[1]Buscador!$B:$F,5,0)</f>
        <v>Guayas</v>
      </c>
      <c r="L329" t="s">
        <v>31</v>
      </c>
      <c r="M329">
        <v>50</v>
      </c>
      <c r="N329">
        <v>21.25</v>
      </c>
      <c r="O329" t="s">
        <v>235</v>
      </c>
      <c r="P329" t="s">
        <v>33</v>
      </c>
      <c r="Q329" t="s">
        <v>1398</v>
      </c>
      <c r="R329" t="s">
        <v>153</v>
      </c>
      <c r="T329" t="s">
        <v>1667</v>
      </c>
      <c r="V329" t="s">
        <v>1937</v>
      </c>
      <c r="W329">
        <v>-2.0986220000000002</v>
      </c>
      <c r="X329">
        <v>-79.936397999999997</v>
      </c>
      <c r="Y329">
        <v>0</v>
      </c>
      <c r="Z329">
        <f>+VLOOKUP(H329,Evalua!$G$2:$H$12,2,0)</f>
        <v>3</v>
      </c>
      <c r="AA329">
        <f>+VLOOKUP(I329,Evalua!$G$2:$H$12,2,0)</f>
        <v>1</v>
      </c>
    </row>
    <row r="330" spans="1:27" x14ac:dyDescent="0.2">
      <c r="A330" s="1" t="s">
        <v>1668</v>
      </c>
      <c r="B330" t="s">
        <v>1669</v>
      </c>
      <c r="C330" t="s">
        <v>1670</v>
      </c>
      <c r="D330" t="s">
        <v>153</v>
      </c>
      <c r="E330" t="s">
        <v>26</v>
      </c>
      <c r="F330" t="s">
        <v>2</v>
      </c>
      <c r="G330" t="s">
        <v>27</v>
      </c>
      <c r="H330" t="s">
        <v>28</v>
      </c>
      <c r="I330" t="s">
        <v>29</v>
      </c>
      <c r="J330" t="str">
        <f>+VLOOKUP(A330,[1]Buscador!$B:$E,4,0)</f>
        <v>Ambato</v>
      </c>
      <c r="K330" t="str">
        <f>+VLOOKUP(A330,[1]Buscador!$B:$F,5,0)</f>
        <v>Tungurahua</v>
      </c>
      <c r="L330" t="s">
        <v>31</v>
      </c>
      <c r="O330" t="s">
        <v>32</v>
      </c>
      <c r="P330" t="s">
        <v>33</v>
      </c>
      <c r="Q330" t="s">
        <v>1404</v>
      </c>
      <c r="R330" t="s">
        <v>153</v>
      </c>
      <c r="T330" t="s">
        <v>1671</v>
      </c>
      <c r="V330" t="s">
        <v>1938</v>
      </c>
      <c r="W330">
        <v>-1.2639733631126999</v>
      </c>
      <c r="X330">
        <v>-78.640127976860001</v>
      </c>
      <c r="Y330">
        <v>0</v>
      </c>
      <c r="Z330">
        <f>+VLOOKUP(H330,Evalua!$G$2:$H$12,2,0)</f>
        <v>1</v>
      </c>
      <c r="AA330">
        <f>+VLOOKUP(I330,Evalua!$G$2:$H$12,2,0)</f>
        <v>2</v>
      </c>
    </row>
    <row r="331" spans="1:27" x14ac:dyDescent="0.2">
      <c r="A331" s="1" t="s">
        <v>1672</v>
      </c>
      <c r="B331" t="s">
        <v>1404</v>
      </c>
      <c r="C331" t="s">
        <v>1404</v>
      </c>
      <c r="D331" t="s">
        <v>153</v>
      </c>
      <c r="E331" t="s">
        <v>26</v>
      </c>
      <c r="F331" t="s">
        <v>39</v>
      </c>
      <c r="G331" t="s">
        <v>27</v>
      </c>
      <c r="H331" t="s">
        <v>28</v>
      </c>
      <c r="I331" t="s">
        <v>29</v>
      </c>
      <c r="J331" t="str">
        <f>+VLOOKUP(A331,[1]Buscador!$B:$E,4,0)</f>
        <v>Ambato</v>
      </c>
      <c r="K331" t="str">
        <f>+VLOOKUP(A331,[1]Buscador!$B:$F,5,0)</f>
        <v>Tungurahua</v>
      </c>
      <c r="L331" t="s">
        <v>31</v>
      </c>
      <c r="O331" t="s">
        <v>32</v>
      </c>
      <c r="P331" t="s">
        <v>33</v>
      </c>
      <c r="Q331" t="s">
        <v>1404</v>
      </c>
      <c r="R331" t="s">
        <v>153</v>
      </c>
      <c r="T331" t="s">
        <v>1673</v>
      </c>
      <c r="V331" t="s">
        <v>1938</v>
      </c>
      <c r="W331">
        <v>-1.2639733631126999</v>
      </c>
      <c r="X331">
        <v>-78.640127976860001</v>
      </c>
      <c r="Y331">
        <v>0</v>
      </c>
      <c r="Z331">
        <f>+VLOOKUP(H331,Evalua!$G$2:$H$12,2,0)</f>
        <v>1</v>
      </c>
      <c r="AA331">
        <f>+VLOOKUP(I331,Evalua!$G$2:$H$12,2,0)</f>
        <v>2</v>
      </c>
    </row>
    <row r="332" spans="1:27" x14ac:dyDescent="0.2">
      <c r="A332" s="1" t="s">
        <v>1674</v>
      </c>
      <c r="B332" t="s">
        <v>1675</v>
      </c>
      <c r="C332" t="s">
        <v>1676</v>
      </c>
      <c r="D332" t="s">
        <v>153</v>
      </c>
      <c r="E332" t="s">
        <v>26</v>
      </c>
      <c r="F332" t="s">
        <v>2</v>
      </c>
      <c r="G332" t="s">
        <v>46</v>
      </c>
      <c r="H332" t="s">
        <v>28</v>
      </c>
      <c r="I332" t="s">
        <v>29</v>
      </c>
      <c r="J332" t="str">
        <f>+VLOOKUP(A332,[1]Buscador!$B:$E,4,0)</f>
        <v>Durán</v>
      </c>
      <c r="K332" t="str">
        <f>+VLOOKUP(A332,[1]Buscador!$B:$F,5,0)</f>
        <v>Guayas</v>
      </c>
      <c r="L332" t="s">
        <v>31</v>
      </c>
      <c r="O332" t="s">
        <v>32</v>
      </c>
      <c r="P332" t="s">
        <v>33</v>
      </c>
      <c r="Q332" t="s">
        <v>1410</v>
      </c>
      <c r="R332" t="s">
        <v>153</v>
      </c>
      <c r="T332" t="s">
        <v>1677</v>
      </c>
      <c r="V332" t="s">
        <v>1939</v>
      </c>
      <c r="W332">
        <v>-2.1775213265339999</v>
      </c>
      <c r="X332">
        <v>-79.825584041664001</v>
      </c>
      <c r="Y332">
        <v>0</v>
      </c>
      <c r="Z332">
        <f>+VLOOKUP(H332,Evalua!$G$2:$H$12,2,0)</f>
        <v>1</v>
      </c>
      <c r="AA332">
        <f>+VLOOKUP(I332,Evalua!$G$2:$H$12,2,0)</f>
        <v>2</v>
      </c>
    </row>
    <row r="333" spans="1:27" x14ac:dyDescent="0.2">
      <c r="A333" s="1" t="s">
        <v>1678</v>
      </c>
      <c r="B333" t="s">
        <v>1679</v>
      </c>
      <c r="C333" t="s">
        <v>1676</v>
      </c>
      <c r="D333" t="s">
        <v>153</v>
      </c>
      <c r="E333" t="s">
        <v>26</v>
      </c>
      <c r="F333" t="s">
        <v>2</v>
      </c>
      <c r="G333" t="s">
        <v>46</v>
      </c>
      <c r="H333" t="s">
        <v>28</v>
      </c>
      <c r="I333" t="s">
        <v>29</v>
      </c>
      <c r="J333" t="str">
        <f>+VLOOKUP(A333,[1]Buscador!$B:$E,4,0)</f>
        <v>Durán</v>
      </c>
      <c r="K333" t="str">
        <f>+VLOOKUP(A333,[1]Buscador!$B:$F,5,0)</f>
        <v>Guayas</v>
      </c>
      <c r="L333" t="s">
        <v>31</v>
      </c>
      <c r="O333" t="s">
        <v>32</v>
      </c>
      <c r="P333" t="s">
        <v>33</v>
      </c>
      <c r="Q333" t="s">
        <v>1410</v>
      </c>
      <c r="R333" t="s">
        <v>153</v>
      </c>
      <c r="T333" t="s">
        <v>1680</v>
      </c>
      <c r="V333" t="s">
        <v>1939</v>
      </c>
      <c r="W333">
        <v>-2.1775213265339999</v>
      </c>
      <c r="X333">
        <v>-79.825584041664001</v>
      </c>
      <c r="Y333">
        <v>0</v>
      </c>
      <c r="Z333">
        <f>+VLOOKUP(H333,Evalua!$G$2:$H$12,2,0)</f>
        <v>1</v>
      </c>
      <c r="AA333">
        <f>+VLOOKUP(I333,Evalua!$G$2:$H$12,2,0)</f>
        <v>2</v>
      </c>
    </row>
    <row r="334" spans="1:27" x14ac:dyDescent="0.2">
      <c r="A334" s="1" t="s">
        <v>1681</v>
      </c>
      <c r="B334" t="s">
        <v>1410</v>
      </c>
      <c r="C334" t="s">
        <v>1410</v>
      </c>
      <c r="D334" t="s">
        <v>153</v>
      </c>
      <c r="E334" t="s">
        <v>26</v>
      </c>
      <c r="F334" t="s">
        <v>39</v>
      </c>
      <c r="G334" t="s">
        <v>46</v>
      </c>
      <c r="H334" t="s">
        <v>28</v>
      </c>
      <c r="I334" t="s">
        <v>29</v>
      </c>
      <c r="J334" t="str">
        <f>+VLOOKUP(A334,[1]Buscador!$B:$E,4,0)</f>
        <v>Durán</v>
      </c>
      <c r="K334" t="str">
        <f>+VLOOKUP(A334,[1]Buscador!$B:$F,5,0)</f>
        <v>Guayas</v>
      </c>
      <c r="L334" t="s">
        <v>31</v>
      </c>
      <c r="O334" t="s">
        <v>32</v>
      </c>
      <c r="P334" t="s">
        <v>33</v>
      </c>
      <c r="Q334" t="s">
        <v>1410</v>
      </c>
      <c r="R334" t="s">
        <v>153</v>
      </c>
      <c r="T334" t="s">
        <v>1682</v>
      </c>
      <c r="V334" t="s">
        <v>1939</v>
      </c>
      <c r="W334">
        <v>-2.1775213265339999</v>
      </c>
      <c r="X334">
        <v>-79.825584041664001</v>
      </c>
      <c r="Y334">
        <v>0</v>
      </c>
      <c r="Z334">
        <f>+VLOOKUP(H334,Evalua!$G$2:$H$12,2,0)</f>
        <v>1</v>
      </c>
      <c r="AA334">
        <f>+VLOOKUP(I334,Evalua!$G$2:$H$12,2,0)</f>
        <v>2</v>
      </c>
    </row>
    <row r="335" spans="1:27" x14ac:dyDescent="0.2">
      <c r="A335" s="1" t="s">
        <v>1683</v>
      </c>
      <c r="B335" t="s">
        <v>1684</v>
      </c>
      <c r="C335" t="s">
        <v>1685</v>
      </c>
      <c r="D335" t="s">
        <v>153</v>
      </c>
      <c r="E335" t="s">
        <v>26</v>
      </c>
      <c r="F335" t="s">
        <v>2</v>
      </c>
      <c r="G335" t="s">
        <v>46</v>
      </c>
      <c r="H335" t="s">
        <v>28</v>
      </c>
      <c r="I335" t="s">
        <v>29</v>
      </c>
      <c r="J335" t="str">
        <f>+VLOOKUP(A335,[1]Buscador!$B:$E,4,0)</f>
        <v>General Villamil Playas</v>
      </c>
      <c r="K335" t="str">
        <f>+VLOOKUP(A335,[1]Buscador!$B:$F,5,0)</f>
        <v>Guayas</v>
      </c>
      <c r="L335" t="s">
        <v>153</v>
      </c>
      <c r="O335" t="s">
        <v>32</v>
      </c>
      <c r="P335" t="s">
        <v>33</v>
      </c>
      <c r="Q335" t="s">
        <v>1414</v>
      </c>
      <c r="R335" t="s">
        <v>153</v>
      </c>
      <c r="T335" t="s">
        <v>1686</v>
      </c>
      <c r="V335" t="s">
        <v>1940</v>
      </c>
      <c r="W335">
        <v>-2.6429693045424001</v>
      </c>
      <c r="X335">
        <v>-80.385091008597996</v>
      </c>
      <c r="Y335">
        <v>0</v>
      </c>
      <c r="Z335">
        <f>+VLOOKUP(H335,Evalua!$G$2:$H$12,2,0)</f>
        <v>1</v>
      </c>
      <c r="AA335">
        <f>+VLOOKUP(I335,Evalua!$G$2:$H$12,2,0)</f>
        <v>2</v>
      </c>
    </row>
    <row r="336" spans="1:27" x14ac:dyDescent="0.2">
      <c r="A336" s="1" t="s">
        <v>1687</v>
      </c>
      <c r="B336" t="s">
        <v>1414</v>
      </c>
      <c r="C336" t="s">
        <v>1414</v>
      </c>
      <c r="D336" t="s">
        <v>153</v>
      </c>
      <c r="E336" t="s">
        <v>26</v>
      </c>
      <c r="F336" t="s">
        <v>64</v>
      </c>
      <c r="G336" t="s">
        <v>46</v>
      </c>
      <c r="H336" t="s">
        <v>28</v>
      </c>
      <c r="I336" t="s">
        <v>29</v>
      </c>
      <c r="J336" t="str">
        <f>+VLOOKUP(A336,[1]Buscador!$B:$E,4,0)</f>
        <v>General Villamil Playas</v>
      </c>
      <c r="K336" t="str">
        <f>+VLOOKUP(A336,[1]Buscador!$B:$F,5,0)</f>
        <v>Guayas</v>
      </c>
      <c r="L336" t="s">
        <v>31</v>
      </c>
      <c r="O336" t="s">
        <v>32</v>
      </c>
      <c r="P336" t="s">
        <v>33</v>
      </c>
      <c r="Q336" t="s">
        <v>1414</v>
      </c>
      <c r="R336" t="s">
        <v>153</v>
      </c>
      <c r="T336" t="s">
        <v>1688</v>
      </c>
      <c r="V336" t="s">
        <v>1940</v>
      </c>
      <c r="W336">
        <v>-2.6429693045424001</v>
      </c>
      <c r="X336">
        <v>-80.385091008597996</v>
      </c>
      <c r="Y336">
        <v>0</v>
      </c>
      <c r="Z336">
        <f>+VLOOKUP(H336,Evalua!$G$2:$H$12,2,0)</f>
        <v>1</v>
      </c>
      <c r="AA336">
        <f>+VLOOKUP(I336,Evalua!$G$2:$H$12,2,0)</f>
        <v>2</v>
      </c>
    </row>
    <row r="337" spans="1:27" x14ac:dyDescent="0.2">
      <c r="A337" s="1" t="s">
        <v>1689</v>
      </c>
      <c r="B337" t="s">
        <v>1690</v>
      </c>
      <c r="C337" t="s">
        <v>1691</v>
      </c>
      <c r="D337" t="s">
        <v>153</v>
      </c>
      <c r="E337" t="s">
        <v>26</v>
      </c>
      <c r="F337" t="s">
        <v>2</v>
      </c>
      <c r="G337" t="s">
        <v>46</v>
      </c>
      <c r="H337" t="s">
        <v>28</v>
      </c>
      <c r="I337" t="s">
        <v>29</v>
      </c>
      <c r="J337" t="str">
        <f>+VLOOKUP(A337,[1]Buscador!$B:$E,4,0)</f>
        <v>Guayaquil</v>
      </c>
      <c r="K337" t="str">
        <f>+VLOOKUP(A337,[1]Buscador!$B:$F,5,0)</f>
        <v>Guayas</v>
      </c>
      <c r="L337" t="s">
        <v>31</v>
      </c>
      <c r="O337" t="s">
        <v>32</v>
      </c>
      <c r="P337" t="s">
        <v>33</v>
      </c>
      <c r="Q337" t="s">
        <v>1420</v>
      </c>
      <c r="R337" t="s">
        <v>153</v>
      </c>
      <c r="T337" t="s">
        <v>1692</v>
      </c>
      <c r="V337" t="s">
        <v>1941</v>
      </c>
      <c r="W337">
        <v>-2.1711770000000001</v>
      </c>
      <c r="X337">
        <v>-79.900566999999995</v>
      </c>
      <c r="Y337">
        <v>0</v>
      </c>
      <c r="Z337">
        <f>+VLOOKUP(H337,Evalua!$G$2:$H$12,2,0)</f>
        <v>1</v>
      </c>
      <c r="AA337">
        <f>+VLOOKUP(I337,Evalua!$G$2:$H$12,2,0)</f>
        <v>2</v>
      </c>
    </row>
    <row r="338" spans="1:27" x14ac:dyDescent="0.2">
      <c r="A338" s="1" t="s">
        <v>1693</v>
      </c>
      <c r="B338" t="s">
        <v>1694</v>
      </c>
      <c r="C338" t="s">
        <v>1691</v>
      </c>
      <c r="D338" t="s">
        <v>153</v>
      </c>
      <c r="E338" t="s">
        <v>26</v>
      </c>
      <c r="F338" t="s">
        <v>2</v>
      </c>
      <c r="G338" t="s">
        <v>46</v>
      </c>
      <c r="H338" t="s">
        <v>28</v>
      </c>
      <c r="I338" t="s">
        <v>29</v>
      </c>
      <c r="J338" t="str">
        <f>+VLOOKUP(A338,[1]Buscador!$B:$E,4,0)</f>
        <v>Guayaquil</v>
      </c>
      <c r="K338" t="str">
        <f>+VLOOKUP(A338,[1]Buscador!$B:$F,5,0)</f>
        <v>Guayas</v>
      </c>
      <c r="L338" t="s">
        <v>31</v>
      </c>
      <c r="O338" t="s">
        <v>32</v>
      </c>
      <c r="P338" t="s">
        <v>33</v>
      </c>
      <c r="Q338" t="s">
        <v>1420</v>
      </c>
      <c r="R338" t="s">
        <v>153</v>
      </c>
      <c r="T338" t="s">
        <v>1695</v>
      </c>
      <c r="V338" t="s">
        <v>1941</v>
      </c>
      <c r="W338">
        <v>-2.1711770000000001</v>
      </c>
      <c r="X338">
        <v>-79.900566999999995</v>
      </c>
      <c r="Y338">
        <v>0</v>
      </c>
      <c r="Z338">
        <f>+VLOOKUP(H338,Evalua!$G$2:$H$12,2,0)</f>
        <v>1</v>
      </c>
      <c r="AA338">
        <f>+VLOOKUP(I338,Evalua!$G$2:$H$12,2,0)</f>
        <v>2</v>
      </c>
    </row>
    <row r="339" spans="1:27" x14ac:dyDescent="0.2">
      <c r="A339" s="1" t="s">
        <v>1696</v>
      </c>
      <c r="B339" t="s">
        <v>1420</v>
      </c>
      <c r="C339" t="s">
        <v>1420</v>
      </c>
      <c r="D339" t="s">
        <v>153</v>
      </c>
      <c r="E339" t="s">
        <v>26</v>
      </c>
      <c r="F339" t="s">
        <v>39</v>
      </c>
      <c r="G339" t="s">
        <v>46</v>
      </c>
      <c r="H339" t="s">
        <v>28</v>
      </c>
      <c r="I339" t="s">
        <v>29</v>
      </c>
      <c r="J339" t="str">
        <f>+VLOOKUP(A339,[1]Buscador!$B:$E,4,0)</f>
        <v>Guayaquil</v>
      </c>
      <c r="K339" t="str">
        <f>+VLOOKUP(A339,[1]Buscador!$B:$F,5,0)</f>
        <v>Guayas</v>
      </c>
      <c r="L339" t="s">
        <v>31</v>
      </c>
      <c r="O339" t="s">
        <v>32</v>
      </c>
      <c r="P339" t="s">
        <v>33</v>
      </c>
      <c r="Q339" t="s">
        <v>1420</v>
      </c>
      <c r="R339" t="s">
        <v>153</v>
      </c>
      <c r="T339" t="s">
        <v>1697</v>
      </c>
      <c r="V339" t="s">
        <v>1941</v>
      </c>
      <c r="W339">
        <v>-2.1711770000000001</v>
      </c>
      <c r="X339">
        <v>-79.900566999999995</v>
      </c>
      <c r="Y339">
        <v>0</v>
      </c>
      <c r="Z339">
        <f>+VLOOKUP(H339,Evalua!$G$2:$H$12,2,0)</f>
        <v>1</v>
      </c>
      <c r="AA339">
        <f>+VLOOKUP(I339,Evalua!$G$2:$H$12,2,0)</f>
        <v>2</v>
      </c>
    </row>
    <row r="340" spans="1:27" x14ac:dyDescent="0.2">
      <c r="A340" s="1" t="s">
        <v>1698</v>
      </c>
      <c r="B340" t="s">
        <v>1699</v>
      </c>
      <c r="C340" t="s">
        <v>1700</v>
      </c>
      <c r="D340" t="s">
        <v>153</v>
      </c>
      <c r="E340" t="s">
        <v>26</v>
      </c>
      <c r="F340" t="s">
        <v>2</v>
      </c>
      <c r="G340" t="s">
        <v>27</v>
      </c>
      <c r="H340" t="s">
        <v>28</v>
      </c>
      <c r="I340" t="s">
        <v>29</v>
      </c>
      <c r="J340" t="str">
        <f>+VLOOKUP(A340,[1]Buscador!$B:$E,4,0)</f>
        <v>Carapungo</v>
      </c>
      <c r="K340" t="str">
        <f>+VLOOKUP(A340,[1]Buscador!$B:$F,5,0)</f>
        <v>Pichincha</v>
      </c>
      <c r="L340" t="s">
        <v>31</v>
      </c>
      <c r="O340" t="s">
        <v>32</v>
      </c>
      <c r="P340" t="s">
        <v>33</v>
      </c>
      <c r="Q340" t="s">
        <v>1425</v>
      </c>
      <c r="R340" t="s">
        <v>153</v>
      </c>
      <c r="T340" t="s">
        <v>1701</v>
      </c>
      <c r="V340" t="s">
        <v>1942</v>
      </c>
      <c r="W340">
        <v>-0.10817009322543</v>
      </c>
      <c r="X340">
        <v>-78.458035635581993</v>
      </c>
      <c r="Y340">
        <v>0</v>
      </c>
      <c r="Z340">
        <f>+VLOOKUP(H340,Evalua!$G$2:$H$12,2,0)</f>
        <v>1</v>
      </c>
      <c r="AA340">
        <f>+VLOOKUP(I340,Evalua!$G$2:$H$12,2,0)</f>
        <v>2</v>
      </c>
    </row>
    <row r="341" spans="1:27" x14ac:dyDescent="0.2">
      <c r="A341" s="1" t="s">
        <v>1702</v>
      </c>
      <c r="B341" t="s">
        <v>1425</v>
      </c>
      <c r="C341" t="s">
        <v>1425</v>
      </c>
      <c r="D341" t="s">
        <v>153</v>
      </c>
      <c r="E341" t="s">
        <v>26</v>
      </c>
      <c r="F341" t="s">
        <v>39</v>
      </c>
      <c r="G341" t="s">
        <v>27</v>
      </c>
      <c r="H341" t="s">
        <v>28</v>
      </c>
      <c r="I341" t="s">
        <v>29</v>
      </c>
      <c r="J341" t="str">
        <f>+VLOOKUP(A341,[1]Buscador!$B:$E,4,0)</f>
        <v>Carapungo</v>
      </c>
      <c r="K341" t="str">
        <f>+VLOOKUP(A341,[1]Buscador!$B:$F,5,0)</f>
        <v>Pichincha</v>
      </c>
      <c r="L341" t="s">
        <v>31</v>
      </c>
      <c r="O341" t="s">
        <v>32</v>
      </c>
      <c r="P341" t="s">
        <v>33</v>
      </c>
      <c r="Q341" t="s">
        <v>1425</v>
      </c>
      <c r="R341" t="s">
        <v>153</v>
      </c>
      <c r="T341" t="s">
        <v>1703</v>
      </c>
      <c r="V341" t="s">
        <v>1942</v>
      </c>
      <c r="W341">
        <v>-0.10817009322543</v>
      </c>
      <c r="X341">
        <v>-78.458035635581993</v>
      </c>
      <c r="Y341">
        <v>0</v>
      </c>
      <c r="Z341">
        <f>+VLOOKUP(H341,Evalua!$G$2:$H$12,2,0)</f>
        <v>1</v>
      </c>
      <c r="AA341">
        <f>+VLOOKUP(I341,Evalua!$G$2:$H$12,2,0)</f>
        <v>2</v>
      </c>
    </row>
    <row r="342" spans="1:27" x14ac:dyDescent="0.2">
      <c r="A342" s="1" t="s">
        <v>1704</v>
      </c>
      <c r="B342" t="s">
        <v>1705</v>
      </c>
      <c r="C342" t="s">
        <v>169</v>
      </c>
      <c r="D342" t="s">
        <v>153</v>
      </c>
      <c r="E342" t="s">
        <v>26</v>
      </c>
      <c r="F342" t="s">
        <v>2</v>
      </c>
      <c r="G342" t="s">
        <v>170</v>
      </c>
      <c r="H342" t="s">
        <v>81</v>
      </c>
      <c r="I342" t="s">
        <v>29</v>
      </c>
      <c r="J342" t="str">
        <f>+VLOOKUP(A342,[1]Buscador!$B:$E,4,0)</f>
        <v>Portoviejo</v>
      </c>
      <c r="K342" t="str">
        <f>+VLOOKUP(A342,[1]Buscador!$B:$F,5,0)</f>
        <v>Manabí</v>
      </c>
      <c r="L342" t="s">
        <v>31</v>
      </c>
      <c r="O342" t="s">
        <v>82</v>
      </c>
      <c r="P342" t="s">
        <v>83</v>
      </c>
      <c r="Q342" t="s">
        <v>171</v>
      </c>
      <c r="R342" t="s">
        <v>153</v>
      </c>
      <c r="T342" t="s">
        <v>1706</v>
      </c>
      <c r="V342" t="s">
        <v>1943</v>
      </c>
      <c r="W342">
        <v>-1.0509264862944001</v>
      </c>
      <c r="X342">
        <v>-80.462363347939004</v>
      </c>
      <c r="Y342">
        <v>0</v>
      </c>
      <c r="Z342">
        <f>+VLOOKUP(H342,Evalua!$G$2:$H$12,2,0)</f>
        <v>3</v>
      </c>
      <c r="AA342">
        <f>+VLOOKUP(I342,Evalua!$G$2:$H$12,2,0)</f>
        <v>2</v>
      </c>
    </row>
    <row r="343" spans="1:27" x14ac:dyDescent="0.2">
      <c r="A343" s="1" t="s">
        <v>1707</v>
      </c>
      <c r="B343" t="s">
        <v>171</v>
      </c>
      <c r="C343" t="s">
        <v>171</v>
      </c>
      <c r="D343" t="s">
        <v>153</v>
      </c>
      <c r="E343" t="s">
        <v>26</v>
      </c>
      <c r="F343" t="s">
        <v>39</v>
      </c>
      <c r="G343" t="s">
        <v>170</v>
      </c>
      <c r="H343" t="s">
        <v>81</v>
      </c>
      <c r="I343" t="s">
        <v>29</v>
      </c>
      <c r="J343" t="str">
        <f>+VLOOKUP(A343,[1]Buscador!$B:$E,4,0)</f>
        <v>Portoviejo</v>
      </c>
      <c r="K343" t="str">
        <f>+VLOOKUP(A343,[1]Buscador!$B:$F,5,0)</f>
        <v>Manabí</v>
      </c>
      <c r="L343" t="s">
        <v>31</v>
      </c>
      <c r="M343">
        <v>30</v>
      </c>
      <c r="N343">
        <v>10.199999999999999</v>
      </c>
      <c r="O343" t="s">
        <v>82</v>
      </c>
      <c r="P343" t="s">
        <v>83</v>
      </c>
      <c r="Q343" t="s">
        <v>171</v>
      </c>
      <c r="R343" t="s">
        <v>153</v>
      </c>
      <c r="T343" t="s">
        <v>1708</v>
      </c>
      <c r="V343" t="s">
        <v>1943</v>
      </c>
      <c r="W343">
        <v>-1.0509264862944001</v>
      </c>
      <c r="X343">
        <v>-80.462363347939004</v>
      </c>
      <c r="Y343">
        <v>0</v>
      </c>
      <c r="Z343">
        <f>+VLOOKUP(H343,Evalua!$G$2:$H$12,2,0)</f>
        <v>3</v>
      </c>
      <c r="AA343">
        <f>+VLOOKUP(I343,Evalua!$G$2:$H$12,2,0)</f>
        <v>2</v>
      </c>
    </row>
    <row r="344" spans="1:27" x14ac:dyDescent="0.2">
      <c r="A344" s="1" t="s">
        <v>1709</v>
      </c>
      <c r="B344" t="s">
        <v>1710</v>
      </c>
      <c r="C344" t="s">
        <v>1711</v>
      </c>
      <c r="D344" t="s">
        <v>153</v>
      </c>
      <c r="E344" t="s">
        <v>26</v>
      </c>
      <c r="F344" t="s">
        <v>2</v>
      </c>
      <c r="G344" t="s">
        <v>27</v>
      </c>
      <c r="H344" t="s">
        <v>28</v>
      </c>
      <c r="I344" t="s">
        <v>29</v>
      </c>
      <c r="J344" t="str">
        <f>+VLOOKUP(A344,[1]Buscador!$B:$E,4,0)</f>
        <v>Quito</v>
      </c>
      <c r="K344" t="str">
        <f>+VLOOKUP(A344,[1]Buscador!$B:$F,5,0)</f>
        <v>Pichincha</v>
      </c>
      <c r="L344" t="s">
        <v>31</v>
      </c>
      <c r="O344" t="s">
        <v>32</v>
      </c>
      <c r="P344" t="s">
        <v>33</v>
      </c>
      <c r="Q344" t="s">
        <v>1436</v>
      </c>
      <c r="R344" t="s">
        <v>153</v>
      </c>
      <c r="T344" t="s">
        <v>1712</v>
      </c>
      <c r="V344" t="s">
        <v>1944</v>
      </c>
      <c r="W344">
        <v>-0.18241667800903999</v>
      </c>
      <c r="X344">
        <v>-78.478438327571993</v>
      </c>
      <c r="Y344">
        <v>0</v>
      </c>
      <c r="Z344">
        <f>+VLOOKUP(H344,Evalua!$G$2:$H$12,2,0)</f>
        <v>1</v>
      </c>
      <c r="AA344">
        <f>+VLOOKUP(I344,Evalua!$G$2:$H$12,2,0)</f>
        <v>2</v>
      </c>
    </row>
    <row r="345" spans="1:27" x14ac:dyDescent="0.2">
      <c r="A345" s="1" t="s">
        <v>1713</v>
      </c>
      <c r="B345" t="s">
        <v>1436</v>
      </c>
      <c r="C345" t="s">
        <v>1436</v>
      </c>
      <c r="D345" t="s">
        <v>153</v>
      </c>
      <c r="E345" t="s">
        <v>26</v>
      </c>
      <c r="F345" t="s">
        <v>39</v>
      </c>
      <c r="G345" t="s">
        <v>27</v>
      </c>
      <c r="H345" t="s">
        <v>28</v>
      </c>
      <c r="I345" t="s">
        <v>29</v>
      </c>
      <c r="J345" t="str">
        <f>+VLOOKUP(A345,[1]Buscador!$B:$E,4,0)</f>
        <v>Quito</v>
      </c>
      <c r="K345" t="str">
        <f>+VLOOKUP(A345,[1]Buscador!$B:$F,5,0)</f>
        <v>Pichincha</v>
      </c>
      <c r="L345" t="s">
        <v>31</v>
      </c>
      <c r="O345" t="s">
        <v>32</v>
      </c>
      <c r="P345" t="s">
        <v>33</v>
      </c>
      <c r="Q345" t="s">
        <v>1436</v>
      </c>
      <c r="R345" t="s">
        <v>153</v>
      </c>
      <c r="T345" t="s">
        <v>1714</v>
      </c>
      <c r="V345" t="s">
        <v>1944</v>
      </c>
      <c r="W345">
        <v>-0.18241667800903999</v>
      </c>
      <c r="X345">
        <v>-78.478438327571993</v>
      </c>
      <c r="Y345">
        <v>0</v>
      </c>
      <c r="Z345">
        <f>+VLOOKUP(H345,Evalua!$G$2:$H$12,2,0)</f>
        <v>1</v>
      </c>
      <c r="AA345">
        <f>+VLOOKUP(I345,Evalua!$G$2:$H$12,2,0)</f>
        <v>2</v>
      </c>
    </row>
    <row r="346" spans="1:27" x14ac:dyDescent="0.2">
      <c r="A346" s="1" t="s">
        <v>1715</v>
      </c>
      <c r="B346" t="s">
        <v>1440</v>
      </c>
      <c r="C346" t="s">
        <v>1440</v>
      </c>
      <c r="D346" t="s">
        <v>153</v>
      </c>
      <c r="E346" t="s">
        <v>26</v>
      </c>
      <c r="F346" t="s">
        <v>64</v>
      </c>
      <c r="G346" t="s">
        <v>46</v>
      </c>
      <c r="H346" t="s">
        <v>28</v>
      </c>
      <c r="I346" t="s">
        <v>29</v>
      </c>
      <c r="J346" t="str">
        <f>+VLOOKUP(A346,[1]Buscador!$B:$E,4,0)</f>
        <v>Samborondón</v>
      </c>
      <c r="K346" t="str">
        <f>+VLOOKUP(A346,[1]Buscador!$B:$F,5,0)</f>
        <v>Guayas</v>
      </c>
      <c r="L346" t="s">
        <v>31</v>
      </c>
      <c r="M346">
        <v>20</v>
      </c>
      <c r="N346">
        <v>10.625</v>
      </c>
      <c r="O346" t="s">
        <v>32</v>
      </c>
      <c r="P346" t="s">
        <v>33</v>
      </c>
      <c r="Q346" t="s">
        <v>1440</v>
      </c>
      <c r="R346" t="s">
        <v>153</v>
      </c>
      <c r="T346" t="s">
        <v>1716</v>
      </c>
      <c r="V346" t="s">
        <v>1945</v>
      </c>
      <c r="W346">
        <v>-2.1433243440434002</v>
      </c>
      <c r="X346">
        <v>-79.864877980494995</v>
      </c>
      <c r="Y346">
        <v>0</v>
      </c>
      <c r="Z346">
        <f>+VLOOKUP(H346,Evalua!$G$2:$H$12,2,0)</f>
        <v>1</v>
      </c>
      <c r="AA346">
        <f>+VLOOKUP(I346,Evalua!$G$2:$H$12,2,0)</f>
        <v>2</v>
      </c>
    </row>
    <row r="347" spans="1:27" x14ac:dyDescent="0.2">
      <c r="A347" s="1" t="s">
        <v>1717</v>
      </c>
      <c r="B347" t="s">
        <v>1718</v>
      </c>
      <c r="C347" t="s">
        <v>1445</v>
      </c>
      <c r="D347" t="s">
        <v>153</v>
      </c>
      <c r="E347" t="s">
        <v>26</v>
      </c>
      <c r="F347" t="s">
        <v>2</v>
      </c>
      <c r="G347" t="s">
        <v>46</v>
      </c>
      <c r="H347" t="s">
        <v>28</v>
      </c>
      <c r="I347" t="s">
        <v>29</v>
      </c>
      <c r="J347" t="str">
        <f>+VLOOKUP(A347,[1]Buscador!$B:$E,4,0)</f>
        <v>Guayaquil</v>
      </c>
      <c r="K347" t="str">
        <f>+VLOOKUP(A347,[1]Buscador!$B:$F,5,0)</f>
        <v>Guayas</v>
      </c>
      <c r="L347" t="s">
        <v>31</v>
      </c>
      <c r="O347" t="s">
        <v>32</v>
      </c>
      <c r="P347" t="s">
        <v>33</v>
      </c>
      <c r="Q347" t="s">
        <v>1445</v>
      </c>
      <c r="R347" t="s">
        <v>153</v>
      </c>
      <c r="T347" t="s">
        <v>1719</v>
      </c>
      <c r="V347" t="s">
        <v>1946</v>
      </c>
      <c r="W347">
        <v>-2.2766347583468001</v>
      </c>
      <c r="X347">
        <v>-79.907462393849002</v>
      </c>
      <c r="Y347">
        <v>0</v>
      </c>
      <c r="Z347">
        <f>+VLOOKUP(H347,Evalua!$G$2:$H$12,2,0)</f>
        <v>1</v>
      </c>
      <c r="AA347">
        <f>+VLOOKUP(I347,Evalua!$G$2:$H$12,2,0)</f>
        <v>2</v>
      </c>
    </row>
    <row r="348" spans="1:27" x14ac:dyDescent="0.2">
      <c r="A348" s="1" t="s">
        <v>1720</v>
      </c>
      <c r="B348" t="s">
        <v>1445</v>
      </c>
      <c r="C348" t="s">
        <v>1445</v>
      </c>
      <c r="D348" t="s">
        <v>153</v>
      </c>
      <c r="E348" t="s">
        <v>26</v>
      </c>
      <c r="F348" t="s">
        <v>64</v>
      </c>
      <c r="G348" t="s">
        <v>46</v>
      </c>
      <c r="H348" t="s">
        <v>28</v>
      </c>
      <c r="I348" t="s">
        <v>29</v>
      </c>
      <c r="J348" t="str">
        <f>+VLOOKUP(A348,[1]Buscador!$B:$E,4,0)</f>
        <v>Guayaquil</v>
      </c>
      <c r="K348" t="str">
        <f>+VLOOKUP(A348,[1]Buscador!$B:$F,5,0)</f>
        <v>Guayas</v>
      </c>
      <c r="L348" t="s">
        <v>31</v>
      </c>
      <c r="O348" t="s">
        <v>32</v>
      </c>
      <c r="P348" t="s">
        <v>33</v>
      </c>
      <c r="Q348" t="s">
        <v>1445</v>
      </c>
      <c r="R348" t="s">
        <v>153</v>
      </c>
      <c r="T348" t="s">
        <v>1721</v>
      </c>
      <c r="V348" t="s">
        <v>1946</v>
      </c>
      <c r="W348">
        <v>-2.2766347583468001</v>
      </c>
      <c r="X348">
        <v>-79.907462393849002</v>
      </c>
      <c r="Y348">
        <v>0</v>
      </c>
      <c r="Z348">
        <f>+VLOOKUP(H348,Evalua!$G$2:$H$12,2,0)</f>
        <v>1</v>
      </c>
      <c r="AA348">
        <f>+VLOOKUP(I348,Evalua!$G$2:$H$12,2,0)</f>
        <v>2</v>
      </c>
    </row>
    <row r="349" spans="1:27" x14ac:dyDescent="0.2">
      <c r="A349" s="1" t="s">
        <v>1722</v>
      </c>
      <c r="B349" t="s">
        <v>1723</v>
      </c>
      <c r="C349" t="s">
        <v>182</v>
      </c>
      <c r="D349" t="s">
        <v>153</v>
      </c>
      <c r="E349" t="s">
        <v>26</v>
      </c>
      <c r="F349" t="s">
        <v>2</v>
      </c>
      <c r="G349" t="s">
        <v>183</v>
      </c>
      <c r="H349" t="s">
        <v>28</v>
      </c>
      <c r="I349" t="s">
        <v>160</v>
      </c>
      <c r="J349" t="str">
        <f>+VLOOKUP(A349,[1]Buscador!$B:$E,4,0)</f>
        <v>Quevedo</v>
      </c>
      <c r="K349" t="str">
        <f>+VLOOKUP(A349,[1]Buscador!$B:$F,5,0)</f>
        <v>Los Ríos</v>
      </c>
      <c r="L349" t="s">
        <v>31</v>
      </c>
      <c r="O349" t="s">
        <v>162</v>
      </c>
      <c r="P349" t="s">
        <v>83</v>
      </c>
      <c r="Q349" t="s">
        <v>184</v>
      </c>
      <c r="R349" t="s">
        <v>153</v>
      </c>
      <c r="T349" t="s">
        <v>1724</v>
      </c>
      <c r="V349" t="s">
        <v>1947</v>
      </c>
      <c r="W349">
        <v>-1.0240457901493001</v>
      </c>
      <c r="X349">
        <v>-79.465783077013</v>
      </c>
      <c r="Y349">
        <v>0</v>
      </c>
      <c r="Z349">
        <f>+VLOOKUP(H349,Evalua!$G$2:$H$12,2,0)</f>
        <v>1</v>
      </c>
      <c r="AA349">
        <f>+VLOOKUP(I349,Evalua!$G$2:$H$12,2,0)</f>
        <v>3</v>
      </c>
    </row>
    <row r="350" spans="1:27" x14ac:dyDescent="0.2">
      <c r="A350" s="1" t="s">
        <v>1725</v>
      </c>
      <c r="B350" t="s">
        <v>1726</v>
      </c>
      <c r="C350" t="s">
        <v>182</v>
      </c>
      <c r="D350" t="s">
        <v>153</v>
      </c>
      <c r="E350" t="s">
        <v>26</v>
      </c>
      <c r="F350" t="s">
        <v>2</v>
      </c>
      <c r="G350" t="s">
        <v>183</v>
      </c>
      <c r="H350" t="s">
        <v>28</v>
      </c>
      <c r="I350" t="s">
        <v>160</v>
      </c>
      <c r="J350" t="str">
        <f>+VLOOKUP(A350,[1]Buscador!$B:$E,4,0)</f>
        <v>Quevedo</v>
      </c>
      <c r="K350" t="str">
        <f>+VLOOKUP(A350,[1]Buscador!$B:$F,5,0)</f>
        <v>Los Ríos</v>
      </c>
      <c r="L350" t="s">
        <v>31</v>
      </c>
      <c r="O350" t="s">
        <v>162</v>
      </c>
      <c r="P350" t="s">
        <v>83</v>
      </c>
      <c r="Q350" t="s">
        <v>184</v>
      </c>
      <c r="R350" t="s">
        <v>153</v>
      </c>
      <c r="T350" t="s">
        <v>1727</v>
      </c>
      <c r="V350" t="s">
        <v>1947</v>
      </c>
      <c r="W350">
        <v>-1.0240457901493001</v>
      </c>
      <c r="X350">
        <v>-79.465783077013</v>
      </c>
      <c r="Y350">
        <v>0</v>
      </c>
      <c r="Z350">
        <f>+VLOOKUP(H350,Evalua!$G$2:$H$12,2,0)</f>
        <v>1</v>
      </c>
      <c r="AA350">
        <f>+VLOOKUP(I350,Evalua!$G$2:$H$12,2,0)</f>
        <v>3</v>
      </c>
    </row>
    <row r="351" spans="1:27" x14ac:dyDescent="0.2">
      <c r="A351" s="1" t="s">
        <v>1728</v>
      </c>
      <c r="B351" t="s">
        <v>184</v>
      </c>
      <c r="C351" t="s">
        <v>184</v>
      </c>
      <c r="D351" t="s">
        <v>153</v>
      </c>
      <c r="E351" t="s">
        <v>26</v>
      </c>
      <c r="F351" t="s">
        <v>39</v>
      </c>
      <c r="G351" t="s">
        <v>183</v>
      </c>
      <c r="H351" t="s">
        <v>28</v>
      </c>
      <c r="I351" t="s">
        <v>160</v>
      </c>
      <c r="J351" t="str">
        <f>+VLOOKUP(A351,[1]Buscador!$B:$E,4,0)</f>
        <v>Quevedo</v>
      </c>
      <c r="K351" t="str">
        <f>+VLOOKUP(A351,[1]Buscador!$B:$F,5,0)</f>
        <v>Los Ríos</v>
      </c>
      <c r="L351" t="s">
        <v>31</v>
      </c>
      <c r="M351">
        <v>70</v>
      </c>
      <c r="N351">
        <v>11.9</v>
      </c>
      <c r="O351" t="s">
        <v>162</v>
      </c>
      <c r="P351" t="s">
        <v>83</v>
      </c>
      <c r="Q351" t="s">
        <v>184</v>
      </c>
      <c r="R351" t="s">
        <v>153</v>
      </c>
      <c r="T351" t="s">
        <v>1729</v>
      </c>
      <c r="V351" t="s">
        <v>1947</v>
      </c>
      <c r="W351">
        <v>-1.0240457901493001</v>
      </c>
      <c r="X351">
        <v>-79.465783077013</v>
      </c>
      <c r="Y351">
        <v>0</v>
      </c>
      <c r="Z351">
        <f>+VLOOKUP(H351,Evalua!$G$2:$H$12,2,0)</f>
        <v>1</v>
      </c>
      <c r="AA351">
        <f>+VLOOKUP(I351,Evalua!$G$2:$H$12,2,0)</f>
        <v>3</v>
      </c>
    </row>
    <row r="352" spans="1:27" x14ac:dyDescent="0.2">
      <c r="A352" s="1" t="s">
        <v>1730</v>
      </c>
      <c r="B352" t="s">
        <v>1731</v>
      </c>
      <c r="C352" t="s">
        <v>1732</v>
      </c>
      <c r="D352" t="s">
        <v>153</v>
      </c>
      <c r="E352" t="s">
        <v>26</v>
      </c>
      <c r="F352" t="s">
        <v>2</v>
      </c>
      <c r="G352" t="s">
        <v>27</v>
      </c>
      <c r="H352" t="s">
        <v>28</v>
      </c>
      <c r="I352" t="s">
        <v>29</v>
      </c>
      <c r="J352" t="str">
        <f>+VLOOKUP(A352,[1]Buscador!$B:$E,4,0)</f>
        <v>Quito</v>
      </c>
      <c r="K352" t="str">
        <f>+VLOOKUP(A352,[1]Buscador!$B:$F,5,0)</f>
        <v>Pichincha</v>
      </c>
      <c r="L352" t="s">
        <v>31</v>
      </c>
      <c r="O352" t="s">
        <v>32</v>
      </c>
      <c r="P352" t="s">
        <v>33</v>
      </c>
      <c r="Q352" t="s">
        <v>1454</v>
      </c>
      <c r="R352" t="s">
        <v>153</v>
      </c>
      <c r="T352" t="s">
        <v>1733</v>
      </c>
      <c r="V352" t="s">
        <v>1948</v>
      </c>
      <c r="W352">
        <v>-0.28519660716465001</v>
      </c>
      <c r="X352">
        <v>-78.543643270809</v>
      </c>
      <c r="Y352">
        <v>0</v>
      </c>
      <c r="Z352">
        <f>+VLOOKUP(H352,Evalua!$G$2:$H$12,2,0)</f>
        <v>1</v>
      </c>
      <c r="AA352">
        <f>+VLOOKUP(I352,Evalua!$G$2:$H$12,2,0)</f>
        <v>2</v>
      </c>
    </row>
    <row r="353" spans="1:27" x14ac:dyDescent="0.2">
      <c r="A353" s="1" t="s">
        <v>1734</v>
      </c>
      <c r="B353" t="s">
        <v>1735</v>
      </c>
      <c r="C353" t="s">
        <v>1732</v>
      </c>
      <c r="D353" t="s">
        <v>153</v>
      </c>
      <c r="E353" t="s">
        <v>26</v>
      </c>
      <c r="F353" t="s">
        <v>2</v>
      </c>
      <c r="G353" t="s">
        <v>27</v>
      </c>
      <c r="H353" t="s">
        <v>28</v>
      </c>
      <c r="I353" t="s">
        <v>29</v>
      </c>
      <c r="J353" t="str">
        <f>+VLOOKUP(A353,[1]Buscador!$B:$E,4,0)</f>
        <v>Quito</v>
      </c>
      <c r="K353" t="str">
        <f>+VLOOKUP(A353,[1]Buscador!$B:$F,5,0)</f>
        <v>Pichincha</v>
      </c>
      <c r="L353" t="s">
        <v>31</v>
      </c>
      <c r="O353" t="s">
        <v>32</v>
      </c>
      <c r="P353" t="s">
        <v>33</v>
      </c>
      <c r="Q353" t="s">
        <v>1454</v>
      </c>
      <c r="R353" t="s">
        <v>153</v>
      </c>
      <c r="T353" t="s">
        <v>1736</v>
      </c>
      <c r="V353" t="s">
        <v>1948</v>
      </c>
      <c r="W353">
        <v>-0.28519660716465001</v>
      </c>
      <c r="X353">
        <v>-78.543643270809</v>
      </c>
      <c r="Y353">
        <v>0</v>
      </c>
      <c r="Z353">
        <f>+VLOOKUP(H353,Evalua!$G$2:$H$12,2,0)</f>
        <v>1</v>
      </c>
      <c r="AA353">
        <f>+VLOOKUP(I353,Evalua!$G$2:$H$12,2,0)</f>
        <v>2</v>
      </c>
    </row>
    <row r="354" spans="1:27" x14ac:dyDescent="0.2">
      <c r="A354" s="1" t="s">
        <v>1737</v>
      </c>
      <c r="B354" t="s">
        <v>1454</v>
      </c>
      <c r="C354" t="s">
        <v>1454</v>
      </c>
      <c r="D354" t="s">
        <v>153</v>
      </c>
      <c r="E354" t="s">
        <v>26</v>
      </c>
      <c r="F354" t="s">
        <v>39</v>
      </c>
      <c r="G354" t="s">
        <v>27</v>
      </c>
      <c r="H354" t="s">
        <v>28</v>
      </c>
      <c r="I354" t="s">
        <v>29</v>
      </c>
      <c r="J354" t="str">
        <f>+VLOOKUP(A354,[1]Buscador!$B:$E,4,0)</f>
        <v>Quito</v>
      </c>
      <c r="K354" t="str">
        <f>+VLOOKUP(A354,[1]Buscador!$B:$F,5,0)</f>
        <v>Pichincha</v>
      </c>
      <c r="L354" t="s">
        <v>31</v>
      </c>
      <c r="O354" t="s">
        <v>32</v>
      </c>
      <c r="P354" t="s">
        <v>33</v>
      </c>
      <c r="Q354" t="s">
        <v>1454</v>
      </c>
      <c r="R354" t="s">
        <v>153</v>
      </c>
      <c r="T354" t="s">
        <v>1738</v>
      </c>
      <c r="V354" t="s">
        <v>1948</v>
      </c>
      <c r="W354">
        <v>-0.28519660716465001</v>
      </c>
      <c r="X354">
        <v>-78.543643270809</v>
      </c>
      <c r="Y354">
        <v>0</v>
      </c>
      <c r="Z354">
        <f>+VLOOKUP(H354,Evalua!$G$2:$H$12,2,0)</f>
        <v>1</v>
      </c>
      <c r="AA354">
        <f>+VLOOKUP(I354,Evalua!$G$2:$H$12,2,0)</f>
        <v>2</v>
      </c>
    </row>
    <row r="355" spans="1:27" x14ac:dyDescent="0.2">
      <c r="A355" s="1" t="s">
        <v>1739</v>
      </c>
      <c r="B355" t="s">
        <v>1740</v>
      </c>
      <c r="C355" t="s">
        <v>1741</v>
      </c>
      <c r="D355" t="s">
        <v>153</v>
      </c>
      <c r="E355" t="s">
        <v>26</v>
      </c>
      <c r="F355" t="s">
        <v>2</v>
      </c>
      <c r="G355" t="s">
        <v>27</v>
      </c>
      <c r="H355" t="s">
        <v>28</v>
      </c>
      <c r="I355" t="s">
        <v>29</v>
      </c>
      <c r="J355" t="str">
        <f>+VLOOKUP(A355,[1]Buscador!$B:$E,4,0)</f>
        <v>Quito</v>
      </c>
      <c r="K355" t="str">
        <f>+VLOOKUP(A355,[1]Buscador!$B:$F,5,0)</f>
        <v>Pichincha</v>
      </c>
      <c r="L355" t="s">
        <v>31</v>
      </c>
      <c r="O355" t="s">
        <v>32</v>
      </c>
      <c r="P355" t="s">
        <v>33</v>
      </c>
      <c r="Q355" t="s">
        <v>1459</v>
      </c>
      <c r="R355" t="s">
        <v>153</v>
      </c>
      <c r="T355" t="s">
        <v>1742</v>
      </c>
      <c r="V355" t="s">
        <v>1949</v>
      </c>
      <c r="W355">
        <v>-0.19758899999999999</v>
      </c>
      <c r="X355">
        <v>-78.489525999999998</v>
      </c>
      <c r="Y355">
        <v>0</v>
      </c>
      <c r="Z355">
        <f>+VLOOKUP(H355,Evalua!$G$2:$H$12,2,0)</f>
        <v>1</v>
      </c>
      <c r="AA355">
        <f>+VLOOKUP(I355,Evalua!$G$2:$H$12,2,0)</f>
        <v>2</v>
      </c>
    </row>
    <row r="356" spans="1:27" x14ac:dyDescent="0.2">
      <c r="A356" s="1" t="s">
        <v>1743</v>
      </c>
      <c r="B356" t="s">
        <v>1459</v>
      </c>
      <c r="C356" t="s">
        <v>1459</v>
      </c>
      <c r="D356" t="s">
        <v>153</v>
      </c>
      <c r="E356" t="s">
        <v>26</v>
      </c>
      <c r="F356" t="s">
        <v>39</v>
      </c>
      <c r="G356" t="s">
        <v>27</v>
      </c>
      <c r="H356" t="s">
        <v>28</v>
      </c>
      <c r="I356" t="s">
        <v>29</v>
      </c>
      <c r="J356" t="str">
        <f>+VLOOKUP(A356,[1]Buscador!$B:$E,4,0)</f>
        <v>Quito</v>
      </c>
      <c r="K356" t="str">
        <f>+VLOOKUP(A356,[1]Buscador!$B:$F,5,0)</f>
        <v>Pichincha</v>
      </c>
      <c r="L356" t="s">
        <v>31</v>
      </c>
      <c r="O356" t="s">
        <v>32</v>
      </c>
      <c r="P356" t="s">
        <v>33</v>
      </c>
      <c r="Q356" t="s">
        <v>1459</v>
      </c>
      <c r="R356" t="s">
        <v>153</v>
      </c>
      <c r="T356" t="s">
        <v>1744</v>
      </c>
      <c r="V356" t="s">
        <v>1949</v>
      </c>
      <c r="W356">
        <v>-0.19758899999999999</v>
      </c>
      <c r="X356">
        <v>-78.489525999999998</v>
      </c>
      <c r="Y356">
        <v>0</v>
      </c>
      <c r="Z356">
        <f>+VLOOKUP(H356,Evalua!$G$2:$H$12,2,0)</f>
        <v>1</v>
      </c>
      <c r="AA356">
        <f>+VLOOKUP(I356,Evalua!$G$2:$H$12,2,0)</f>
        <v>2</v>
      </c>
    </row>
    <row r="357" spans="1:27" x14ac:dyDescent="0.2">
      <c r="A357" s="1" t="s">
        <v>1745</v>
      </c>
      <c r="B357" t="s">
        <v>1746</v>
      </c>
      <c r="C357" t="s">
        <v>1747</v>
      </c>
      <c r="D357" t="s">
        <v>153</v>
      </c>
      <c r="E357" t="s">
        <v>26</v>
      </c>
      <c r="F357" t="s">
        <v>2</v>
      </c>
      <c r="G357" t="s">
        <v>27</v>
      </c>
      <c r="H357" t="s">
        <v>28</v>
      </c>
      <c r="I357" t="s">
        <v>29</v>
      </c>
      <c r="J357" t="str">
        <f>+VLOOKUP(A357,[1]Buscador!$B:$E,4,0)</f>
        <v>Quito</v>
      </c>
      <c r="K357" t="str">
        <f>+VLOOKUP(A357,[1]Buscador!$B:$F,5,0)</f>
        <v>Pichincha</v>
      </c>
      <c r="L357" t="s">
        <v>31</v>
      </c>
      <c r="O357" t="s">
        <v>32</v>
      </c>
      <c r="P357" t="s">
        <v>33</v>
      </c>
      <c r="Q357" t="s">
        <v>1465</v>
      </c>
      <c r="R357" t="s">
        <v>153</v>
      </c>
      <c r="T357" t="s">
        <v>1748</v>
      </c>
      <c r="V357" t="s">
        <v>1950</v>
      </c>
      <c r="W357">
        <v>-0.25220533226148001</v>
      </c>
      <c r="X357">
        <v>-78.523039906746007</v>
      </c>
      <c r="Y357">
        <v>0</v>
      </c>
      <c r="Z357">
        <f>+VLOOKUP(H357,Evalua!$G$2:$H$12,2,0)</f>
        <v>1</v>
      </c>
      <c r="AA357">
        <f>+VLOOKUP(I357,Evalua!$G$2:$H$12,2,0)</f>
        <v>2</v>
      </c>
    </row>
    <row r="358" spans="1:27" x14ac:dyDescent="0.2">
      <c r="A358" s="1" t="s">
        <v>1749</v>
      </c>
      <c r="B358" t="s">
        <v>1465</v>
      </c>
      <c r="C358" t="s">
        <v>1465</v>
      </c>
      <c r="D358" t="s">
        <v>153</v>
      </c>
      <c r="E358" t="s">
        <v>26</v>
      </c>
      <c r="F358" t="s">
        <v>39</v>
      </c>
      <c r="G358" t="s">
        <v>27</v>
      </c>
      <c r="H358" t="s">
        <v>28</v>
      </c>
      <c r="I358" t="s">
        <v>29</v>
      </c>
      <c r="J358" t="str">
        <f>+VLOOKUP(A358,[1]Buscador!$B:$E,4,0)</f>
        <v>Quito</v>
      </c>
      <c r="K358" t="str">
        <f>+VLOOKUP(A358,[1]Buscador!$B:$F,5,0)</f>
        <v>Pichincha</v>
      </c>
      <c r="L358" t="s">
        <v>31</v>
      </c>
      <c r="O358" t="s">
        <v>32</v>
      </c>
      <c r="P358" t="s">
        <v>33</v>
      </c>
      <c r="Q358" t="s">
        <v>1465</v>
      </c>
      <c r="R358" t="s">
        <v>153</v>
      </c>
      <c r="T358" t="s">
        <v>1750</v>
      </c>
      <c r="V358" t="s">
        <v>1950</v>
      </c>
      <c r="W358">
        <v>-0.25220533226148001</v>
      </c>
      <c r="X358">
        <v>-78.523039906746007</v>
      </c>
      <c r="Y358">
        <v>0</v>
      </c>
      <c r="Z358">
        <f>+VLOOKUP(H358,Evalua!$G$2:$H$12,2,0)</f>
        <v>1</v>
      </c>
      <c r="AA358">
        <f>+VLOOKUP(I358,Evalua!$G$2:$H$12,2,0)</f>
        <v>2</v>
      </c>
    </row>
    <row r="359" spans="1:27" x14ac:dyDescent="0.2">
      <c r="A359" s="1" t="s">
        <v>1751</v>
      </c>
      <c r="B359" t="s">
        <v>1752</v>
      </c>
      <c r="C359" t="s">
        <v>1753</v>
      </c>
      <c r="D359" t="s">
        <v>153</v>
      </c>
      <c r="E359" t="s">
        <v>26</v>
      </c>
      <c r="F359" t="s">
        <v>2</v>
      </c>
      <c r="G359" t="s">
        <v>27</v>
      </c>
      <c r="H359" t="s">
        <v>28</v>
      </c>
      <c r="I359" t="s">
        <v>29</v>
      </c>
      <c r="J359" t="str">
        <f>+VLOOKUP(A359,[1]Buscador!$B:$E,4,0)</f>
        <v>Quito</v>
      </c>
      <c r="K359" t="str">
        <f>+VLOOKUP(A359,[1]Buscador!$B:$F,5,0)</f>
        <v>Pichincha</v>
      </c>
      <c r="L359" t="s">
        <v>31</v>
      </c>
      <c r="O359" t="s">
        <v>32</v>
      </c>
      <c r="P359" t="s">
        <v>33</v>
      </c>
      <c r="Q359" t="s">
        <v>1470</v>
      </c>
      <c r="R359" t="s">
        <v>153</v>
      </c>
      <c r="T359" t="s">
        <v>1754</v>
      </c>
      <c r="V359" t="s">
        <v>1951</v>
      </c>
      <c r="W359">
        <v>-0.1524604</v>
      </c>
      <c r="X359">
        <v>-78.484634400000004</v>
      </c>
      <c r="Y359">
        <v>0</v>
      </c>
      <c r="Z359">
        <f>+VLOOKUP(H359,Evalua!$G$2:$H$12,2,0)</f>
        <v>1</v>
      </c>
      <c r="AA359">
        <f>+VLOOKUP(I359,Evalua!$G$2:$H$12,2,0)</f>
        <v>2</v>
      </c>
    </row>
    <row r="360" spans="1:27" x14ac:dyDescent="0.2">
      <c r="A360" s="1" t="s">
        <v>1755</v>
      </c>
      <c r="B360" t="s">
        <v>1470</v>
      </c>
      <c r="C360" t="s">
        <v>1470</v>
      </c>
      <c r="D360" t="s">
        <v>153</v>
      </c>
      <c r="E360" t="s">
        <v>26</v>
      </c>
      <c r="F360" t="s">
        <v>39</v>
      </c>
      <c r="G360" t="s">
        <v>27</v>
      </c>
      <c r="H360" t="s">
        <v>28</v>
      </c>
      <c r="I360" t="s">
        <v>29</v>
      </c>
      <c r="J360" t="str">
        <f>+VLOOKUP(A360,[1]Buscador!$B:$E,4,0)</f>
        <v>Quito</v>
      </c>
      <c r="K360" t="str">
        <f>+VLOOKUP(A360,[1]Buscador!$B:$F,5,0)</f>
        <v>Pichincha</v>
      </c>
      <c r="L360" t="s">
        <v>31</v>
      </c>
      <c r="M360">
        <v>50</v>
      </c>
      <c r="N360">
        <v>17</v>
      </c>
      <c r="O360" t="s">
        <v>32</v>
      </c>
      <c r="P360" t="s">
        <v>33</v>
      </c>
      <c r="Q360" t="s">
        <v>1470</v>
      </c>
      <c r="R360" t="s">
        <v>153</v>
      </c>
      <c r="T360" t="s">
        <v>1756</v>
      </c>
      <c r="V360" t="s">
        <v>1951</v>
      </c>
      <c r="W360">
        <v>-0.1524604</v>
      </c>
      <c r="X360">
        <v>-78.484634400000004</v>
      </c>
      <c r="Y360">
        <v>0</v>
      </c>
      <c r="Z360">
        <f>+VLOOKUP(H360,Evalua!$G$2:$H$12,2,0)</f>
        <v>1</v>
      </c>
      <c r="AA360">
        <f>+VLOOKUP(I360,Evalua!$G$2:$H$12,2,0)</f>
        <v>2</v>
      </c>
    </row>
    <row r="361" spans="1:27" x14ac:dyDescent="0.2">
      <c r="A361" s="1" t="s">
        <v>1757</v>
      </c>
      <c r="B361" t="s">
        <v>1758</v>
      </c>
      <c r="C361" t="s">
        <v>1759</v>
      </c>
      <c r="D361" t="s">
        <v>153</v>
      </c>
      <c r="E361" t="s">
        <v>26</v>
      </c>
      <c r="F361" t="s">
        <v>2</v>
      </c>
      <c r="G361" t="s">
        <v>27</v>
      </c>
      <c r="H361" t="s">
        <v>28</v>
      </c>
      <c r="I361" t="s">
        <v>29</v>
      </c>
      <c r="J361" t="str">
        <f>+VLOOKUP(A361,[1]Buscador!$B:$E,4,0)</f>
        <v>Sangolquí</v>
      </c>
      <c r="K361" t="str">
        <f>+VLOOKUP(A361,[1]Buscador!$B:$F,5,0)</f>
        <v>Pichincha</v>
      </c>
      <c r="L361" t="s">
        <v>31</v>
      </c>
      <c r="O361" t="s">
        <v>32</v>
      </c>
      <c r="P361" t="s">
        <v>33</v>
      </c>
      <c r="Q361" t="s">
        <v>1476</v>
      </c>
      <c r="R361" t="s">
        <v>153</v>
      </c>
      <c r="T361" t="s">
        <v>1760</v>
      </c>
      <c r="V361" t="s">
        <v>1952</v>
      </c>
      <c r="W361">
        <v>-0.30797568986607998</v>
      </c>
      <c r="X361">
        <v>-78.449547381615005</v>
      </c>
      <c r="Y361">
        <v>0</v>
      </c>
      <c r="Z361">
        <f>+VLOOKUP(H361,Evalua!$G$2:$H$12,2,0)</f>
        <v>1</v>
      </c>
      <c r="AA361">
        <f>+VLOOKUP(I361,Evalua!$G$2:$H$12,2,0)</f>
        <v>2</v>
      </c>
    </row>
    <row r="362" spans="1:27" x14ac:dyDescent="0.2">
      <c r="A362" s="1" t="s">
        <v>1761</v>
      </c>
      <c r="B362" t="s">
        <v>1476</v>
      </c>
      <c r="C362" t="s">
        <v>1476</v>
      </c>
      <c r="D362" t="s">
        <v>153</v>
      </c>
      <c r="E362" t="s">
        <v>26</v>
      </c>
      <c r="F362" t="s">
        <v>39</v>
      </c>
      <c r="G362" t="s">
        <v>27</v>
      </c>
      <c r="H362" t="s">
        <v>28</v>
      </c>
      <c r="I362" t="s">
        <v>29</v>
      </c>
      <c r="J362" t="str">
        <f>+VLOOKUP(A362,[1]Buscador!$B:$E,4,0)</f>
        <v>Sangolquí</v>
      </c>
      <c r="K362" t="str">
        <f>+VLOOKUP(A362,[1]Buscador!$B:$F,5,0)</f>
        <v>Pichincha</v>
      </c>
      <c r="L362" t="s">
        <v>31</v>
      </c>
      <c r="O362" t="s">
        <v>32</v>
      </c>
      <c r="P362" t="s">
        <v>33</v>
      </c>
      <c r="Q362" t="s">
        <v>1476</v>
      </c>
      <c r="R362" t="s">
        <v>153</v>
      </c>
      <c r="T362" t="s">
        <v>1762</v>
      </c>
      <c r="V362" t="s">
        <v>1952</v>
      </c>
      <c r="W362">
        <v>-0.30797568986607998</v>
      </c>
      <c r="X362">
        <v>-78.449547381615005</v>
      </c>
      <c r="Y362">
        <v>0</v>
      </c>
      <c r="Z362">
        <f>+VLOOKUP(H362,Evalua!$G$2:$H$12,2,0)</f>
        <v>1</v>
      </c>
      <c r="AA362">
        <f>+VLOOKUP(I362,Evalua!$G$2:$H$12,2,0)</f>
        <v>2</v>
      </c>
    </row>
    <row r="363" spans="1:27" x14ac:dyDescent="0.2">
      <c r="A363" s="1" t="s">
        <v>1763</v>
      </c>
      <c r="B363" t="s">
        <v>1764</v>
      </c>
      <c r="C363" t="s">
        <v>1765</v>
      </c>
      <c r="D363" t="s">
        <v>153</v>
      </c>
      <c r="E363" t="s">
        <v>26</v>
      </c>
      <c r="F363" t="s">
        <v>2</v>
      </c>
      <c r="G363" t="s">
        <v>27</v>
      </c>
      <c r="H363" t="s">
        <v>28</v>
      </c>
      <c r="I363" t="s">
        <v>29</v>
      </c>
      <c r="J363" t="str">
        <f>+VLOOKUP(A363,[1]Buscador!$B:$E,4,0)</f>
        <v>Quito</v>
      </c>
      <c r="K363" t="str">
        <f>+VLOOKUP(A363,[1]Buscador!$B:$F,5,0)</f>
        <v>Pichincha</v>
      </c>
      <c r="L363" t="s">
        <v>31</v>
      </c>
      <c r="O363" t="s">
        <v>32</v>
      </c>
      <c r="P363" t="s">
        <v>33</v>
      </c>
      <c r="Q363" t="s">
        <v>1481</v>
      </c>
      <c r="R363" t="s">
        <v>153</v>
      </c>
      <c r="T363" t="s">
        <v>1766</v>
      </c>
      <c r="V363" t="s">
        <v>1953</v>
      </c>
      <c r="W363">
        <v>-0.17596927121457001</v>
      </c>
      <c r="X363">
        <v>-78.482782898148002</v>
      </c>
      <c r="Y363">
        <v>0</v>
      </c>
      <c r="Z363">
        <f>+VLOOKUP(H363,Evalua!$G$2:$H$12,2,0)</f>
        <v>1</v>
      </c>
      <c r="AA363">
        <f>+VLOOKUP(I363,Evalua!$G$2:$H$12,2,0)</f>
        <v>2</v>
      </c>
    </row>
    <row r="364" spans="1:27" x14ac:dyDescent="0.2">
      <c r="A364" s="1" t="s">
        <v>1767</v>
      </c>
      <c r="B364" t="s">
        <v>1768</v>
      </c>
      <c r="C364" t="s">
        <v>1765</v>
      </c>
      <c r="D364" t="s">
        <v>153</v>
      </c>
      <c r="E364" t="s">
        <v>26</v>
      </c>
      <c r="F364" t="s">
        <v>2</v>
      </c>
      <c r="G364" t="s">
        <v>27</v>
      </c>
      <c r="H364" t="s">
        <v>28</v>
      </c>
      <c r="I364" t="s">
        <v>29</v>
      </c>
      <c r="J364" t="str">
        <f>+VLOOKUP(A364,[1]Buscador!$B:$E,4,0)</f>
        <v>Quito</v>
      </c>
      <c r="K364" t="str">
        <f>+VLOOKUP(A364,[1]Buscador!$B:$F,5,0)</f>
        <v>Pichincha</v>
      </c>
      <c r="L364" t="s">
        <v>31</v>
      </c>
      <c r="O364" t="s">
        <v>32</v>
      </c>
      <c r="P364" t="s">
        <v>33</v>
      </c>
      <c r="Q364" t="s">
        <v>1481</v>
      </c>
      <c r="R364" t="s">
        <v>153</v>
      </c>
      <c r="T364" t="s">
        <v>1769</v>
      </c>
      <c r="V364" t="s">
        <v>1953</v>
      </c>
      <c r="W364">
        <v>-0.17596927121457001</v>
      </c>
      <c r="X364">
        <v>-78.482782898148002</v>
      </c>
      <c r="Y364">
        <v>0</v>
      </c>
      <c r="Z364">
        <f>+VLOOKUP(H364,Evalua!$G$2:$H$12,2,0)</f>
        <v>1</v>
      </c>
      <c r="AA364">
        <f>+VLOOKUP(I364,Evalua!$G$2:$H$12,2,0)</f>
        <v>2</v>
      </c>
    </row>
    <row r="365" spans="1:27" x14ac:dyDescent="0.2">
      <c r="A365" s="1" t="s">
        <v>1770</v>
      </c>
      <c r="B365" t="s">
        <v>1481</v>
      </c>
      <c r="C365" t="s">
        <v>1481</v>
      </c>
      <c r="D365" t="s">
        <v>153</v>
      </c>
      <c r="E365" t="s">
        <v>26</v>
      </c>
      <c r="F365" t="s">
        <v>1370</v>
      </c>
      <c r="G365" t="s">
        <v>27</v>
      </c>
      <c r="H365" t="s">
        <v>28</v>
      </c>
      <c r="I365" t="s">
        <v>29</v>
      </c>
      <c r="J365" t="str">
        <f>+VLOOKUP(A365,[1]Buscador!$B:$E,4,0)</f>
        <v>Quito</v>
      </c>
      <c r="K365" t="str">
        <f>+VLOOKUP(A365,[1]Buscador!$B:$F,5,0)</f>
        <v>Pichincha</v>
      </c>
      <c r="L365" t="s">
        <v>31</v>
      </c>
      <c r="M365">
        <v>150</v>
      </c>
      <c r="N365">
        <v>8.5</v>
      </c>
      <c r="O365" t="s">
        <v>32</v>
      </c>
      <c r="P365" t="s">
        <v>33</v>
      </c>
      <c r="Q365" t="s">
        <v>1481</v>
      </c>
      <c r="R365" t="s">
        <v>153</v>
      </c>
      <c r="T365" t="s">
        <v>1771</v>
      </c>
      <c r="V365" t="s">
        <v>1953</v>
      </c>
      <c r="W365">
        <v>-0.17596927121457001</v>
      </c>
      <c r="X365">
        <v>-78.482782898148002</v>
      </c>
      <c r="Y365">
        <v>0</v>
      </c>
      <c r="Z365">
        <f>+VLOOKUP(H365,Evalua!$G$2:$H$12,2,0)</f>
        <v>1</v>
      </c>
      <c r="AA365">
        <f>+VLOOKUP(I365,Evalua!$G$2:$H$12,2,0)</f>
        <v>2</v>
      </c>
    </row>
    <row r="366" spans="1:27" x14ac:dyDescent="0.2">
      <c r="A366" s="1" t="s">
        <v>1772</v>
      </c>
      <c r="B366" t="s">
        <v>1773</v>
      </c>
      <c r="C366" t="s">
        <v>1774</v>
      </c>
      <c r="D366" t="s">
        <v>153</v>
      </c>
      <c r="E366" t="s">
        <v>26</v>
      </c>
      <c r="F366" t="s">
        <v>2</v>
      </c>
      <c r="G366" t="s">
        <v>27</v>
      </c>
      <c r="H366" t="s">
        <v>28</v>
      </c>
      <c r="I366" t="s">
        <v>29</v>
      </c>
      <c r="J366" t="str">
        <f>+VLOOKUP(A366,[1]Buscador!$B:$E,4,0)</f>
        <v>Quito</v>
      </c>
      <c r="K366" t="str">
        <f>+VLOOKUP(A366,[1]Buscador!$B:$F,5,0)</f>
        <v>Pichincha</v>
      </c>
      <c r="L366" t="s">
        <v>31</v>
      </c>
      <c r="O366" t="s">
        <v>32</v>
      </c>
      <c r="P366" t="s">
        <v>33</v>
      </c>
      <c r="Q366" t="s">
        <v>1486</v>
      </c>
      <c r="R366" t="s">
        <v>153</v>
      </c>
      <c r="T366" t="s">
        <v>1775</v>
      </c>
      <c r="V366" t="s">
        <v>1954</v>
      </c>
      <c r="W366">
        <v>-0.16759569524283</v>
      </c>
      <c r="X366">
        <v>-78.489494004353006</v>
      </c>
      <c r="Y366">
        <v>0</v>
      </c>
      <c r="Z366">
        <f>+VLOOKUP(H366,Evalua!$G$2:$H$12,2,0)</f>
        <v>1</v>
      </c>
      <c r="AA366">
        <f>+VLOOKUP(I366,Evalua!$G$2:$H$12,2,0)</f>
        <v>2</v>
      </c>
    </row>
    <row r="367" spans="1:27" x14ac:dyDescent="0.2">
      <c r="A367" s="1" t="s">
        <v>1776</v>
      </c>
      <c r="B367" t="s">
        <v>1486</v>
      </c>
      <c r="C367" t="s">
        <v>1486</v>
      </c>
      <c r="D367" t="s">
        <v>153</v>
      </c>
      <c r="E367" t="s">
        <v>26</v>
      </c>
      <c r="F367" t="s">
        <v>39</v>
      </c>
      <c r="G367" t="s">
        <v>27</v>
      </c>
      <c r="H367" t="s">
        <v>28</v>
      </c>
      <c r="I367" t="s">
        <v>29</v>
      </c>
      <c r="J367" t="str">
        <f>+VLOOKUP(A367,[1]Buscador!$B:$E,4,0)</f>
        <v>Quito</v>
      </c>
      <c r="K367" t="str">
        <f>+VLOOKUP(A367,[1]Buscador!$B:$F,5,0)</f>
        <v>Pichincha</v>
      </c>
      <c r="L367" t="s">
        <v>153</v>
      </c>
      <c r="O367" t="s">
        <v>32</v>
      </c>
      <c r="P367" t="s">
        <v>33</v>
      </c>
      <c r="Q367" t="s">
        <v>1486</v>
      </c>
      <c r="R367" t="s">
        <v>153</v>
      </c>
      <c r="T367" t="s">
        <v>1777</v>
      </c>
      <c r="V367" t="s">
        <v>1954</v>
      </c>
      <c r="W367">
        <v>-0.16759569524283</v>
      </c>
      <c r="X367">
        <v>-78.489494004353006</v>
      </c>
      <c r="Y367">
        <v>0</v>
      </c>
      <c r="Z367">
        <f>+VLOOKUP(H367,Evalua!$G$2:$H$12,2,0)</f>
        <v>1</v>
      </c>
      <c r="AA367">
        <f>+VLOOKUP(I367,Evalua!$G$2:$H$12,2,0)</f>
        <v>2</v>
      </c>
    </row>
    <row r="368" spans="1:27" x14ac:dyDescent="0.2">
      <c r="A368" s="1" t="s">
        <v>1778</v>
      </c>
      <c r="B368" t="s">
        <v>1779</v>
      </c>
      <c r="C368" t="s">
        <v>1780</v>
      </c>
      <c r="D368" t="s">
        <v>153</v>
      </c>
      <c r="E368" t="s">
        <v>26</v>
      </c>
      <c r="F368" t="s">
        <v>2</v>
      </c>
      <c r="G368" t="s">
        <v>159</v>
      </c>
      <c r="H368" t="s">
        <v>28</v>
      </c>
      <c r="I368" t="s">
        <v>29</v>
      </c>
      <c r="J368" t="str">
        <f>+VLOOKUP(A368,[1]Buscador!$B:$E,4,0)</f>
        <v>Cuenca</v>
      </c>
      <c r="K368" t="str">
        <f>+VLOOKUP(A368,[1]Buscador!$B:$F,5,0)</f>
        <v>Azuay</v>
      </c>
      <c r="L368" t="s">
        <v>31</v>
      </c>
      <c r="O368" t="s">
        <v>32</v>
      </c>
      <c r="P368" t="s">
        <v>33</v>
      </c>
      <c r="Q368" t="s">
        <v>1491</v>
      </c>
      <c r="R368" t="s">
        <v>153</v>
      </c>
      <c r="T368" t="s">
        <v>1781</v>
      </c>
      <c r="V368" t="s">
        <v>1955</v>
      </c>
      <c r="W368">
        <v>-2.8979883430347</v>
      </c>
      <c r="X368">
        <v>-79.018494097602002</v>
      </c>
      <c r="Y368">
        <v>0</v>
      </c>
      <c r="Z368">
        <f>+VLOOKUP(H368,Evalua!$G$2:$H$12,2,0)</f>
        <v>1</v>
      </c>
      <c r="AA368">
        <f>+VLOOKUP(I368,Evalua!$G$2:$H$12,2,0)</f>
        <v>2</v>
      </c>
    </row>
    <row r="369" spans="1:27" x14ac:dyDescent="0.2">
      <c r="A369" s="1" t="s">
        <v>1782</v>
      </c>
      <c r="B369" t="s">
        <v>1491</v>
      </c>
      <c r="C369" t="s">
        <v>1491</v>
      </c>
      <c r="D369" t="s">
        <v>153</v>
      </c>
      <c r="E369" t="s">
        <v>26</v>
      </c>
      <c r="F369" t="s">
        <v>39</v>
      </c>
      <c r="G369" t="s">
        <v>159</v>
      </c>
      <c r="H369" t="s">
        <v>28</v>
      </c>
      <c r="I369" t="s">
        <v>29</v>
      </c>
      <c r="J369" t="str">
        <f>+VLOOKUP(A369,[1]Buscador!$B:$E,4,0)</f>
        <v>Cuenca</v>
      </c>
      <c r="K369" t="str">
        <f>+VLOOKUP(A369,[1]Buscador!$B:$F,5,0)</f>
        <v>Azuay</v>
      </c>
      <c r="L369" t="s">
        <v>31</v>
      </c>
      <c r="M369">
        <v>50</v>
      </c>
      <c r="N369">
        <v>17</v>
      </c>
      <c r="O369" t="s">
        <v>32</v>
      </c>
      <c r="P369" t="s">
        <v>33</v>
      </c>
      <c r="Q369" t="s">
        <v>1491</v>
      </c>
      <c r="R369" t="s">
        <v>153</v>
      </c>
      <c r="T369" t="s">
        <v>1783</v>
      </c>
      <c r="V369" t="s">
        <v>1955</v>
      </c>
      <c r="W369">
        <v>-2.8979883430347</v>
      </c>
      <c r="X369">
        <v>-79.018494097602002</v>
      </c>
      <c r="Y369">
        <v>0</v>
      </c>
      <c r="Z369">
        <f>+VLOOKUP(H369,Evalua!$G$2:$H$12,2,0)</f>
        <v>1</v>
      </c>
      <c r="AA369">
        <f>+VLOOKUP(I369,Evalua!$G$2:$H$12,2,0)</f>
        <v>2</v>
      </c>
    </row>
    <row r="370" spans="1:27" x14ac:dyDescent="0.2">
      <c r="A370" s="1" t="s">
        <v>1784</v>
      </c>
      <c r="B370" t="s">
        <v>1785</v>
      </c>
      <c r="C370" t="s">
        <v>1786</v>
      </c>
      <c r="D370" t="s">
        <v>153</v>
      </c>
      <c r="E370" t="s">
        <v>26</v>
      </c>
      <c r="F370" t="s">
        <v>2</v>
      </c>
      <c r="G370" t="s">
        <v>46</v>
      </c>
      <c r="H370" t="s">
        <v>28</v>
      </c>
      <c r="I370" t="s">
        <v>29</v>
      </c>
      <c r="J370" t="str">
        <f>+VLOOKUP(A370,[1]Buscador!$B:$E,4,0)</f>
        <v>Samborondón</v>
      </c>
      <c r="K370" t="str">
        <f>+VLOOKUP(A370,[1]Buscador!$B:$F,5,0)</f>
        <v>Guayas</v>
      </c>
      <c r="L370" t="s">
        <v>153</v>
      </c>
      <c r="O370" t="s">
        <v>32</v>
      </c>
      <c r="P370" t="s">
        <v>33</v>
      </c>
      <c r="Q370" t="s">
        <v>1497</v>
      </c>
      <c r="R370" t="s">
        <v>153</v>
      </c>
      <c r="T370" t="s">
        <v>1787</v>
      </c>
      <c r="V370" t="s">
        <v>1956</v>
      </c>
      <c r="W370">
        <v>-2.1451959999999999</v>
      </c>
      <c r="X370">
        <v>-79.863518999999997</v>
      </c>
      <c r="Y370">
        <v>0</v>
      </c>
      <c r="Z370">
        <f>+VLOOKUP(H370,Evalua!$G$2:$H$12,2,0)</f>
        <v>1</v>
      </c>
      <c r="AA370">
        <f>+VLOOKUP(I370,Evalua!$G$2:$H$12,2,0)</f>
        <v>2</v>
      </c>
    </row>
    <row r="371" spans="1:27" x14ac:dyDescent="0.2">
      <c r="A371" s="1" t="s">
        <v>1788</v>
      </c>
      <c r="B371" t="s">
        <v>1497</v>
      </c>
      <c r="C371" t="s">
        <v>1786</v>
      </c>
      <c r="D371" t="s">
        <v>153</v>
      </c>
      <c r="E371" t="s">
        <v>26</v>
      </c>
      <c r="F371" t="s">
        <v>39</v>
      </c>
      <c r="G371" t="s">
        <v>46</v>
      </c>
      <c r="H371" t="s">
        <v>28</v>
      </c>
      <c r="I371" t="s">
        <v>29</v>
      </c>
      <c r="J371" t="str">
        <f>+VLOOKUP(A371,[1]Buscador!$B:$E,4,0)</f>
        <v>Samborondón</v>
      </c>
      <c r="K371" t="str">
        <f>+VLOOKUP(A371,[1]Buscador!$B:$F,5,0)</f>
        <v>Guayas</v>
      </c>
      <c r="L371" t="s">
        <v>31</v>
      </c>
      <c r="O371" t="s">
        <v>32</v>
      </c>
      <c r="P371" t="s">
        <v>33</v>
      </c>
      <c r="Q371" t="s">
        <v>1497</v>
      </c>
      <c r="R371" t="s">
        <v>153</v>
      </c>
      <c r="T371" t="s">
        <v>1789</v>
      </c>
      <c r="V371" t="s">
        <v>1956</v>
      </c>
      <c r="W371">
        <v>-2.1451959999999999</v>
      </c>
      <c r="X371">
        <v>-79.863518999999997</v>
      </c>
      <c r="Y371">
        <v>0</v>
      </c>
      <c r="Z371">
        <f>+VLOOKUP(H371,Evalua!$G$2:$H$12,2,0)</f>
        <v>1</v>
      </c>
      <c r="AA371">
        <f>+VLOOKUP(I371,Evalua!$G$2:$H$12,2,0)</f>
        <v>2</v>
      </c>
    </row>
    <row r="372" spans="1:27" x14ac:dyDescent="0.2">
      <c r="A372" s="1" t="s">
        <v>1790</v>
      </c>
      <c r="B372" t="s">
        <v>1791</v>
      </c>
      <c r="C372" t="s">
        <v>1792</v>
      </c>
      <c r="D372" t="s">
        <v>153</v>
      </c>
      <c r="E372" t="s">
        <v>26</v>
      </c>
      <c r="F372" t="s">
        <v>2</v>
      </c>
      <c r="G372" t="s">
        <v>46</v>
      </c>
      <c r="H372" t="s">
        <v>28</v>
      </c>
      <c r="I372" t="s">
        <v>29</v>
      </c>
      <c r="J372" t="str">
        <f>+VLOOKUP(A372,[1]Buscador!$B:$E,4,0)</f>
        <v>Guayaquil</v>
      </c>
      <c r="K372" t="str">
        <f>+VLOOKUP(A372,[1]Buscador!$B:$F,5,0)</f>
        <v>Guayas</v>
      </c>
      <c r="L372" t="s">
        <v>31</v>
      </c>
      <c r="O372" t="s">
        <v>32</v>
      </c>
      <c r="P372" t="s">
        <v>33</v>
      </c>
      <c r="Q372" t="s">
        <v>1502</v>
      </c>
      <c r="R372" t="s">
        <v>153</v>
      </c>
      <c r="T372" t="s">
        <v>1793</v>
      </c>
      <c r="V372" t="s">
        <v>1957</v>
      </c>
      <c r="W372">
        <v>-2.1775527356936002</v>
      </c>
      <c r="X372">
        <v>-79.942488674591004</v>
      </c>
      <c r="Y372">
        <v>0</v>
      </c>
      <c r="Z372">
        <f>+VLOOKUP(H372,Evalua!$G$2:$H$12,2,0)</f>
        <v>1</v>
      </c>
      <c r="AA372">
        <f>+VLOOKUP(I372,Evalua!$G$2:$H$12,2,0)</f>
        <v>2</v>
      </c>
    </row>
    <row r="373" spans="1:27" x14ac:dyDescent="0.2">
      <c r="A373" s="1" t="s">
        <v>1794</v>
      </c>
      <c r="B373" t="s">
        <v>1795</v>
      </c>
      <c r="C373" t="s">
        <v>1792</v>
      </c>
      <c r="D373" t="s">
        <v>153</v>
      </c>
      <c r="E373" t="s">
        <v>26</v>
      </c>
      <c r="F373" t="s">
        <v>2</v>
      </c>
      <c r="G373" t="s">
        <v>46</v>
      </c>
      <c r="H373" t="s">
        <v>28</v>
      </c>
      <c r="I373" t="s">
        <v>29</v>
      </c>
      <c r="J373" t="str">
        <f>+VLOOKUP(A373,[1]Buscador!$B:$E,4,0)</f>
        <v>Guayaquil</v>
      </c>
      <c r="K373" t="str">
        <f>+VLOOKUP(A373,[1]Buscador!$B:$F,5,0)</f>
        <v>Guayas</v>
      </c>
      <c r="L373" t="s">
        <v>31</v>
      </c>
      <c r="O373" t="s">
        <v>32</v>
      </c>
      <c r="P373" t="s">
        <v>33</v>
      </c>
      <c r="Q373" t="s">
        <v>1502</v>
      </c>
      <c r="R373" t="s">
        <v>153</v>
      </c>
      <c r="T373" t="s">
        <v>1796</v>
      </c>
      <c r="V373" t="s">
        <v>1957</v>
      </c>
      <c r="W373">
        <v>-2.1775527356936002</v>
      </c>
      <c r="X373">
        <v>-79.942488674591004</v>
      </c>
      <c r="Y373">
        <v>0</v>
      </c>
      <c r="Z373">
        <f>+VLOOKUP(H373,Evalua!$G$2:$H$12,2,0)</f>
        <v>1</v>
      </c>
      <c r="AA373">
        <f>+VLOOKUP(I373,Evalua!$G$2:$H$12,2,0)</f>
        <v>2</v>
      </c>
    </row>
    <row r="374" spans="1:27" x14ac:dyDescent="0.2">
      <c r="A374" s="1" t="s">
        <v>1797</v>
      </c>
      <c r="B374" t="s">
        <v>1798</v>
      </c>
      <c r="C374" t="s">
        <v>1792</v>
      </c>
      <c r="D374" t="s">
        <v>153</v>
      </c>
      <c r="E374" t="s">
        <v>26</v>
      </c>
      <c r="F374" t="s">
        <v>2</v>
      </c>
      <c r="G374" t="s">
        <v>46</v>
      </c>
      <c r="H374" t="s">
        <v>28</v>
      </c>
      <c r="I374" t="s">
        <v>29</v>
      </c>
      <c r="J374" t="str">
        <f>+VLOOKUP(A374,[1]Buscador!$B:$E,4,0)</f>
        <v>Guayaquil</v>
      </c>
      <c r="K374" t="str">
        <f>+VLOOKUP(A374,[1]Buscador!$B:$F,5,0)</f>
        <v>Guayas</v>
      </c>
      <c r="L374" t="s">
        <v>31</v>
      </c>
      <c r="O374" t="s">
        <v>32</v>
      </c>
      <c r="P374" t="s">
        <v>33</v>
      </c>
      <c r="Q374" t="s">
        <v>1502</v>
      </c>
      <c r="R374" t="s">
        <v>153</v>
      </c>
      <c r="T374" t="s">
        <v>1799</v>
      </c>
      <c r="V374" t="s">
        <v>1957</v>
      </c>
      <c r="W374">
        <v>-2.1775527356936002</v>
      </c>
      <c r="X374">
        <v>-79.942488674591004</v>
      </c>
      <c r="Y374">
        <v>0</v>
      </c>
      <c r="Z374">
        <f>+VLOOKUP(H374,Evalua!$G$2:$H$12,2,0)</f>
        <v>1</v>
      </c>
      <c r="AA374">
        <f>+VLOOKUP(I374,Evalua!$G$2:$H$12,2,0)</f>
        <v>2</v>
      </c>
    </row>
    <row r="375" spans="1:27" x14ac:dyDescent="0.2">
      <c r="A375" s="1" t="s">
        <v>1800</v>
      </c>
      <c r="B375" t="s">
        <v>1801</v>
      </c>
      <c r="C375" t="s">
        <v>1801</v>
      </c>
      <c r="D375" t="s">
        <v>153</v>
      </c>
      <c r="E375" t="s">
        <v>26</v>
      </c>
      <c r="F375" t="s">
        <v>64</v>
      </c>
      <c r="G375" t="s">
        <v>46</v>
      </c>
      <c r="H375" t="s">
        <v>28</v>
      </c>
      <c r="I375" t="s">
        <v>29</v>
      </c>
      <c r="J375" t="str">
        <f>+VLOOKUP(A375,[1]Buscador!$B:$E,4,0)</f>
        <v>Guayaquil</v>
      </c>
      <c r="K375" t="str">
        <f>+VLOOKUP(A375,[1]Buscador!$B:$F,5,0)</f>
        <v>Guayas</v>
      </c>
      <c r="L375" t="s">
        <v>31</v>
      </c>
      <c r="O375" t="s">
        <v>32</v>
      </c>
      <c r="P375" t="s">
        <v>33</v>
      </c>
      <c r="Q375" t="s">
        <v>1502</v>
      </c>
      <c r="R375" t="s">
        <v>153</v>
      </c>
      <c r="T375" t="s">
        <v>1802</v>
      </c>
      <c r="V375" t="s">
        <v>1957</v>
      </c>
      <c r="W375">
        <v>-2.1775527356936002</v>
      </c>
      <c r="X375">
        <v>-79.942488674591004</v>
      </c>
      <c r="Y375">
        <v>0</v>
      </c>
      <c r="Z375">
        <f>+VLOOKUP(H375,Evalua!$G$2:$H$12,2,0)</f>
        <v>1</v>
      </c>
      <c r="AA375">
        <f>+VLOOKUP(I375,Evalua!$G$2:$H$12,2,0)</f>
        <v>2</v>
      </c>
    </row>
    <row r="376" spans="1:27" x14ac:dyDescent="0.2">
      <c r="A376" s="1" t="s">
        <v>1803</v>
      </c>
      <c r="B376" t="s">
        <v>1508</v>
      </c>
      <c r="C376" t="s">
        <v>1508</v>
      </c>
      <c r="D376" t="s">
        <v>153</v>
      </c>
      <c r="E376" t="s">
        <v>26</v>
      </c>
      <c r="F376" t="s">
        <v>64</v>
      </c>
      <c r="G376" t="s">
        <v>46</v>
      </c>
      <c r="H376" t="s">
        <v>28</v>
      </c>
      <c r="I376" t="s">
        <v>29</v>
      </c>
      <c r="J376" t="str">
        <f>+VLOOKUP(A376,[1]Buscador!$B:$E,4,0)</f>
        <v>Guayaquil</v>
      </c>
      <c r="K376" t="str">
        <f>+VLOOKUP(A376,[1]Buscador!$B:$F,5,0)</f>
        <v>Guayas</v>
      </c>
      <c r="L376" t="s">
        <v>31</v>
      </c>
      <c r="O376" t="s">
        <v>32</v>
      </c>
      <c r="P376" t="s">
        <v>33</v>
      </c>
      <c r="Q376" t="s">
        <v>1508</v>
      </c>
      <c r="R376" t="s">
        <v>153</v>
      </c>
      <c r="T376" t="s">
        <v>1804</v>
      </c>
      <c r="V376" t="s">
        <v>328</v>
      </c>
      <c r="W376">
        <v>-2.241638</v>
      </c>
      <c r="X376">
        <v>-79.894834000000003</v>
      </c>
      <c r="Y376">
        <v>0</v>
      </c>
      <c r="Z376">
        <f>+VLOOKUP(H376,Evalua!$G$2:$H$12,2,0)</f>
        <v>1</v>
      </c>
      <c r="AA376">
        <f>+VLOOKUP(I376,Evalua!$G$2:$H$12,2,0)</f>
        <v>2</v>
      </c>
    </row>
    <row r="377" spans="1:27" x14ac:dyDescent="0.2">
      <c r="A377" s="1" t="s">
        <v>1805</v>
      </c>
      <c r="B377" t="s">
        <v>1806</v>
      </c>
      <c r="C377" t="s">
        <v>1807</v>
      </c>
      <c r="D377" t="s">
        <v>153</v>
      </c>
      <c r="E377" t="s">
        <v>26</v>
      </c>
      <c r="F377" t="s">
        <v>2</v>
      </c>
      <c r="G377" t="s">
        <v>46</v>
      </c>
      <c r="H377" t="s">
        <v>28</v>
      </c>
      <c r="I377" t="s">
        <v>29</v>
      </c>
      <c r="J377" t="str">
        <f>+VLOOKUP(A377,[1]Buscador!$B:$E,4,0)</f>
        <v>Durán</v>
      </c>
      <c r="K377" t="str">
        <f>+VLOOKUP(A377,[1]Buscador!$B:$F,5,0)</f>
        <v>Guayas</v>
      </c>
      <c r="L377" t="s">
        <v>31</v>
      </c>
      <c r="O377" t="s">
        <v>32</v>
      </c>
      <c r="P377" t="s">
        <v>33</v>
      </c>
      <c r="Q377" t="s">
        <v>1514</v>
      </c>
      <c r="R377" t="s">
        <v>153</v>
      </c>
      <c r="T377" t="s">
        <v>1808</v>
      </c>
      <c r="V377" t="s">
        <v>1958</v>
      </c>
      <c r="W377">
        <v>-2.1927731140308002</v>
      </c>
      <c r="X377">
        <v>-79.823755483466996</v>
      </c>
      <c r="Y377">
        <v>0</v>
      </c>
      <c r="Z377">
        <f>+VLOOKUP(H377,Evalua!$G$2:$H$12,2,0)</f>
        <v>1</v>
      </c>
      <c r="AA377">
        <f>+VLOOKUP(I377,Evalua!$G$2:$H$12,2,0)</f>
        <v>2</v>
      </c>
    </row>
    <row r="378" spans="1:27" x14ac:dyDescent="0.2">
      <c r="A378" s="1" t="s">
        <v>1809</v>
      </c>
      <c r="B378" t="s">
        <v>1514</v>
      </c>
      <c r="C378" t="s">
        <v>1514</v>
      </c>
      <c r="D378" t="s">
        <v>153</v>
      </c>
      <c r="E378" t="s">
        <v>26</v>
      </c>
      <c r="F378" t="s">
        <v>64</v>
      </c>
      <c r="G378" t="s">
        <v>46</v>
      </c>
      <c r="H378" t="s">
        <v>28</v>
      </c>
      <c r="I378" t="s">
        <v>29</v>
      </c>
      <c r="J378" t="str">
        <f>+VLOOKUP(A378,[1]Buscador!$B:$E,4,0)</f>
        <v>Durán</v>
      </c>
      <c r="K378" t="str">
        <f>+VLOOKUP(A378,[1]Buscador!$B:$F,5,0)</f>
        <v>Guayas</v>
      </c>
      <c r="L378" t="s">
        <v>31</v>
      </c>
      <c r="M378">
        <v>30</v>
      </c>
      <c r="N378">
        <v>12.75</v>
      </c>
      <c r="O378" t="s">
        <v>32</v>
      </c>
      <c r="P378" t="s">
        <v>33</v>
      </c>
      <c r="Q378" t="s">
        <v>1514</v>
      </c>
      <c r="R378" t="s">
        <v>153</v>
      </c>
      <c r="T378" t="s">
        <v>1810</v>
      </c>
      <c r="V378" t="s">
        <v>1958</v>
      </c>
      <c r="W378">
        <v>-2.1927731140308002</v>
      </c>
      <c r="X378">
        <v>-79.823755483466996</v>
      </c>
      <c r="Y378">
        <v>0</v>
      </c>
      <c r="Z378">
        <f>+VLOOKUP(H378,Evalua!$G$2:$H$12,2,0)</f>
        <v>1</v>
      </c>
      <c r="AA378">
        <f>+VLOOKUP(I378,Evalua!$G$2:$H$12,2,0)</f>
        <v>2</v>
      </c>
    </row>
    <row r="379" spans="1:27" x14ac:dyDescent="0.2">
      <c r="A379" s="1" t="s">
        <v>1811</v>
      </c>
      <c r="B379" t="s">
        <v>1812</v>
      </c>
      <c r="C379" t="s">
        <v>1685</v>
      </c>
      <c r="D379" t="s">
        <v>153</v>
      </c>
      <c r="E379" t="s">
        <v>26</v>
      </c>
      <c r="F379" t="s">
        <v>2</v>
      </c>
      <c r="G379" t="s">
        <v>46</v>
      </c>
      <c r="H379" t="s">
        <v>28</v>
      </c>
      <c r="I379" t="s">
        <v>29</v>
      </c>
      <c r="J379" t="str">
        <f>+VLOOKUP(A379,[1]Buscador!$B:$E,4,0)</f>
        <v>Posorja</v>
      </c>
      <c r="K379" t="str">
        <f>+VLOOKUP(A379,[1]Buscador!$B:$F,5,0)</f>
        <v>Guayas</v>
      </c>
      <c r="L379" t="s">
        <v>31</v>
      </c>
      <c r="O379" t="s">
        <v>32</v>
      </c>
      <c r="P379" t="s">
        <v>33</v>
      </c>
      <c r="Q379" t="s">
        <v>1518</v>
      </c>
      <c r="R379" t="s">
        <v>153</v>
      </c>
      <c r="T379" t="s">
        <v>1813</v>
      </c>
      <c r="V379" t="s">
        <v>1959</v>
      </c>
      <c r="W379">
        <v>-2.6981972431688002</v>
      </c>
      <c r="X379">
        <v>-80.248583733184006</v>
      </c>
      <c r="Y379">
        <v>0</v>
      </c>
      <c r="Z379">
        <f>+VLOOKUP(H379,Evalua!$G$2:$H$12,2,0)</f>
        <v>1</v>
      </c>
      <c r="AA379">
        <f>+VLOOKUP(I379,Evalua!$G$2:$H$12,2,0)</f>
        <v>2</v>
      </c>
    </row>
    <row r="380" spans="1:27" x14ac:dyDescent="0.2">
      <c r="A380" s="1" t="s">
        <v>1814</v>
      </c>
      <c r="B380" t="s">
        <v>1518</v>
      </c>
      <c r="C380" t="s">
        <v>1518</v>
      </c>
      <c r="D380" t="s">
        <v>153</v>
      </c>
      <c r="E380" t="s">
        <v>26</v>
      </c>
      <c r="F380" t="s">
        <v>136</v>
      </c>
      <c r="G380" t="s">
        <v>46</v>
      </c>
      <c r="H380" t="s">
        <v>28</v>
      </c>
      <c r="I380" t="s">
        <v>29</v>
      </c>
      <c r="J380" t="str">
        <f>+VLOOKUP(A380,[1]Buscador!$B:$E,4,0)</f>
        <v>Posorja</v>
      </c>
      <c r="K380" t="str">
        <f>+VLOOKUP(A380,[1]Buscador!$B:$F,5,0)</f>
        <v>Guayas</v>
      </c>
      <c r="L380" t="s">
        <v>31</v>
      </c>
      <c r="O380" t="s">
        <v>32</v>
      </c>
      <c r="P380" t="s">
        <v>33</v>
      </c>
      <c r="Q380" t="s">
        <v>1518</v>
      </c>
      <c r="R380" t="s">
        <v>153</v>
      </c>
      <c r="T380" t="s">
        <v>1816</v>
      </c>
      <c r="V380" t="s">
        <v>1959</v>
      </c>
      <c r="W380">
        <v>-2.6981972431688002</v>
      </c>
      <c r="X380">
        <v>-80.248583733184006</v>
      </c>
      <c r="Y380">
        <v>0</v>
      </c>
      <c r="Z380">
        <f>+VLOOKUP(H380,Evalua!$G$2:$H$12,2,0)</f>
        <v>1</v>
      </c>
      <c r="AA380">
        <f>+VLOOKUP(I380,Evalua!$G$2:$H$12,2,0)</f>
        <v>2</v>
      </c>
    </row>
    <row r="381" spans="1:27" x14ac:dyDescent="0.2">
      <c r="A381" s="1" t="s">
        <v>1817</v>
      </c>
      <c r="B381" t="s">
        <v>1818</v>
      </c>
      <c r="C381" t="s">
        <v>766</v>
      </c>
      <c r="D381" t="s">
        <v>153</v>
      </c>
      <c r="E381" t="s">
        <v>26</v>
      </c>
      <c r="F381" t="s">
        <v>2</v>
      </c>
      <c r="G381" t="s">
        <v>46</v>
      </c>
      <c r="H381" t="s">
        <v>28</v>
      </c>
      <c r="I381" t="s">
        <v>29</v>
      </c>
      <c r="J381" t="str">
        <f>+VLOOKUP(A381,[1]Buscador!$B:$E,4,0)</f>
        <v>Samborondón</v>
      </c>
      <c r="K381" t="str">
        <f>+VLOOKUP(A381,[1]Buscador!$B:$F,5,0)</f>
        <v>Guayas</v>
      </c>
      <c r="L381" t="s">
        <v>31</v>
      </c>
      <c r="O381" t="s">
        <v>32</v>
      </c>
      <c r="P381" t="s">
        <v>33</v>
      </c>
      <c r="Q381" t="s">
        <v>386</v>
      </c>
      <c r="R381" t="s">
        <v>153</v>
      </c>
      <c r="T381" t="s">
        <v>1819</v>
      </c>
      <c r="V381" t="s">
        <v>971</v>
      </c>
      <c r="W381">
        <v>-2.1133265276055599</v>
      </c>
      <c r="X381">
        <v>-79.870816069313094</v>
      </c>
      <c r="Y381">
        <v>0</v>
      </c>
      <c r="Z381">
        <f>+VLOOKUP(H381,Evalua!$G$2:$H$12,2,0)</f>
        <v>1</v>
      </c>
      <c r="AA381">
        <f>+VLOOKUP(I381,Evalua!$G$2:$H$12,2,0)</f>
        <v>2</v>
      </c>
    </row>
    <row r="382" spans="1:27" x14ac:dyDescent="0.2">
      <c r="A382" s="1" t="s">
        <v>1820</v>
      </c>
      <c r="B382" t="s">
        <v>386</v>
      </c>
      <c r="C382" t="s">
        <v>386</v>
      </c>
      <c r="D382" t="s">
        <v>153</v>
      </c>
      <c r="E382" t="s">
        <v>26</v>
      </c>
      <c r="F382" t="s">
        <v>39</v>
      </c>
      <c r="G382" t="s">
        <v>46</v>
      </c>
      <c r="H382" t="s">
        <v>28</v>
      </c>
      <c r="I382" t="s">
        <v>29</v>
      </c>
      <c r="J382" t="str">
        <f>+VLOOKUP(A382,[1]Buscador!$B:$E,4,0)</f>
        <v>Samborondón</v>
      </c>
      <c r="K382" t="str">
        <f>+VLOOKUP(A382,[1]Buscador!$B:$F,5,0)</f>
        <v>Guayas</v>
      </c>
      <c r="L382" t="s">
        <v>31</v>
      </c>
      <c r="M382">
        <v>750</v>
      </c>
      <c r="N382">
        <v>21.25</v>
      </c>
      <c r="O382" t="s">
        <v>32</v>
      </c>
      <c r="P382" t="s">
        <v>33</v>
      </c>
      <c r="Q382" t="s">
        <v>386</v>
      </c>
      <c r="R382" t="s">
        <v>153</v>
      </c>
      <c r="T382" t="s">
        <v>1821</v>
      </c>
      <c r="V382" t="s">
        <v>971</v>
      </c>
      <c r="W382">
        <v>-2.1133265276055599</v>
      </c>
      <c r="X382">
        <v>-79.870816069313094</v>
      </c>
      <c r="Y382">
        <v>0</v>
      </c>
      <c r="Z382">
        <f>+VLOOKUP(H382,Evalua!$G$2:$H$12,2,0)</f>
        <v>1</v>
      </c>
      <c r="AA382">
        <f>+VLOOKUP(I382,Evalua!$G$2:$H$12,2,0)</f>
        <v>2</v>
      </c>
    </row>
    <row r="383" spans="1:27" x14ac:dyDescent="0.2">
      <c r="A383" s="1" t="s">
        <v>1822</v>
      </c>
      <c r="B383" t="s">
        <v>1823</v>
      </c>
      <c r="C383" t="s">
        <v>1824</v>
      </c>
      <c r="D383" t="s">
        <v>153</v>
      </c>
      <c r="E383" t="s">
        <v>26</v>
      </c>
      <c r="F383" t="s">
        <v>2</v>
      </c>
      <c r="G383" t="s">
        <v>46</v>
      </c>
      <c r="H383" t="s">
        <v>28</v>
      </c>
      <c r="I383" t="s">
        <v>29</v>
      </c>
      <c r="J383" t="str">
        <f>+VLOOKUP(A383,[1]Buscador!$B:$E,4,0)</f>
        <v>Guayaquil</v>
      </c>
      <c r="K383" t="str">
        <f>+VLOOKUP(A383,[1]Buscador!$B:$F,5,0)</f>
        <v>Guayas</v>
      </c>
      <c r="L383" t="s">
        <v>31</v>
      </c>
      <c r="O383" t="s">
        <v>32</v>
      </c>
      <c r="P383" t="s">
        <v>33</v>
      </c>
      <c r="Q383" t="s">
        <v>1529</v>
      </c>
      <c r="R383" t="s">
        <v>153</v>
      </c>
      <c r="T383" t="s">
        <v>1825</v>
      </c>
      <c r="V383" t="s">
        <v>1960</v>
      </c>
      <c r="W383">
        <v>-2.1694677273971998</v>
      </c>
      <c r="X383">
        <v>-79.898525228330001</v>
      </c>
      <c r="Y383">
        <v>0</v>
      </c>
      <c r="Z383">
        <f>+VLOOKUP(H383,Evalua!$G$2:$H$12,2,0)</f>
        <v>1</v>
      </c>
      <c r="AA383">
        <f>+VLOOKUP(I383,Evalua!$G$2:$H$12,2,0)</f>
        <v>2</v>
      </c>
    </row>
    <row r="384" spans="1:27" x14ac:dyDescent="0.2">
      <c r="A384" s="1" t="s">
        <v>1826</v>
      </c>
      <c r="B384" t="s">
        <v>1827</v>
      </c>
      <c r="C384" t="s">
        <v>1824</v>
      </c>
      <c r="D384" t="s">
        <v>153</v>
      </c>
      <c r="E384" t="s">
        <v>26</v>
      </c>
      <c r="F384" t="s">
        <v>2</v>
      </c>
      <c r="G384" t="s">
        <v>46</v>
      </c>
      <c r="H384" t="s">
        <v>28</v>
      </c>
      <c r="I384" t="s">
        <v>29</v>
      </c>
      <c r="J384" t="str">
        <f>+VLOOKUP(A384,[1]Buscador!$B:$E,4,0)</f>
        <v>Guayaquil</v>
      </c>
      <c r="K384" t="str">
        <f>+VLOOKUP(A384,[1]Buscador!$B:$F,5,0)</f>
        <v>Guayas</v>
      </c>
      <c r="L384" t="s">
        <v>31</v>
      </c>
      <c r="O384" t="s">
        <v>32</v>
      </c>
      <c r="P384" t="s">
        <v>33</v>
      </c>
      <c r="Q384" t="s">
        <v>1529</v>
      </c>
      <c r="R384" t="s">
        <v>153</v>
      </c>
      <c r="T384" t="s">
        <v>1828</v>
      </c>
      <c r="V384" t="s">
        <v>1960</v>
      </c>
      <c r="W384">
        <v>-2.1694677273971998</v>
      </c>
      <c r="X384">
        <v>-79.898525228330001</v>
      </c>
      <c r="Y384">
        <v>0</v>
      </c>
      <c r="Z384">
        <f>+VLOOKUP(H384,Evalua!$G$2:$H$12,2,0)</f>
        <v>1</v>
      </c>
      <c r="AA384">
        <f>+VLOOKUP(I384,Evalua!$G$2:$H$12,2,0)</f>
        <v>2</v>
      </c>
    </row>
    <row r="385" spans="1:27" x14ac:dyDescent="0.2">
      <c r="A385" s="1" t="s">
        <v>1829</v>
      </c>
      <c r="B385" t="s">
        <v>1529</v>
      </c>
      <c r="C385" t="s">
        <v>1529</v>
      </c>
      <c r="D385" t="s">
        <v>153</v>
      </c>
      <c r="E385" t="s">
        <v>26</v>
      </c>
      <c r="F385" t="s">
        <v>39</v>
      </c>
      <c r="G385" t="s">
        <v>46</v>
      </c>
      <c r="H385" t="s">
        <v>28</v>
      </c>
      <c r="I385" t="s">
        <v>29</v>
      </c>
      <c r="J385" t="str">
        <f>+VLOOKUP(A385,[1]Buscador!$B:$E,4,0)</f>
        <v>Guayaquil</v>
      </c>
      <c r="K385" t="str">
        <f>+VLOOKUP(A385,[1]Buscador!$B:$F,5,0)</f>
        <v>Guayas</v>
      </c>
      <c r="L385" t="s">
        <v>31</v>
      </c>
      <c r="O385" t="s">
        <v>32</v>
      </c>
      <c r="P385" t="s">
        <v>33</v>
      </c>
      <c r="Q385" t="s">
        <v>1529</v>
      </c>
      <c r="R385" t="s">
        <v>153</v>
      </c>
      <c r="T385" t="s">
        <v>1830</v>
      </c>
      <c r="V385" t="s">
        <v>1960</v>
      </c>
      <c r="W385">
        <v>-2.1694677273971998</v>
      </c>
      <c r="X385">
        <v>-79.898525228330001</v>
      </c>
      <c r="Y385">
        <v>0</v>
      </c>
      <c r="Z385">
        <f>+VLOOKUP(H385,Evalua!$G$2:$H$12,2,0)</f>
        <v>1</v>
      </c>
      <c r="AA385">
        <f>+VLOOKUP(I385,Evalua!$G$2:$H$12,2,0)</f>
        <v>2</v>
      </c>
    </row>
    <row r="386" spans="1:27" x14ac:dyDescent="0.2">
      <c r="A386" s="1" t="s">
        <v>1831</v>
      </c>
      <c r="B386" t="s">
        <v>1832</v>
      </c>
      <c r="C386" t="s">
        <v>246</v>
      </c>
      <c r="D386" t="s">
        <v>153</v>
      </c>
      <c r="E386" t="s">
        <v>26</v>
      </c>
      <c r="F386" t="s">
        <v>2</v>
      </c>
      <c r="G386" t="s">
        <v>194</v>
      </c>
      <c r="H386" t="s">
        <v>28</v>
      </c>
      <c r="I386" t="s">
        <v>234</v>
      </c>
      <c r="J386" t="str">
        <f>+VLOOKUP(A386,[1]Buscador!$B:$E,4,0)</f>
        <v>Santo Domingo de los Tsachilas</v>
      </c>
      <c r="K386" t="str">
        <f>+VLOOKUP(A386,[1]Buscador!$B:$F,5,0)</f>
        <v>Santo Domingo de los Tsáchilas</v>
      </c>
      <c r="L386" t="s">
        <v>31</v>
      </c>
      <c r="O386" t="s">
        <v>729</v>
      </c>
      <c r="P386" t="s">
        <v>730</v>
      </c>
      <c r="Q386" t="s">
        <v>195</v>
      </c>
      <c r="R386" t="s">
        <v>153</v>
      </c>
      <c r="T386" t="s">
        <v>1833</v>
      </c>
      <c r="V386" t="s">
        <v>1961</v>
      </c>
      <c r="W386">
        <v>-0.25177914970624998</v>
      </c>
      <c r="X386">
        <v>-79.164858575815003</v>
      </c>
      <c r="Y386">
        <v>0</v>
      </c>
      <c r="Z386">
        <f>+VLOOKUP(H386,Evalua!$G$2:$H$12,2,0)</f>
        <v>1</v>
      </c>
      <c r="AA386">
        <f>+VLOOKUP(I386,Evalua!$G$2:$H$12,2,0)</f>
        <v>1</v>
      </c>
    </row>
    <row r="387" spans="1:27" x14ac:dyDescent="0.2">
      <c r="A387" s="1" t="s">
        <v>1834</v>
      </c>
      <c r="B387" t="s">
        <v>1835</v>
      </c>
      <c r="C387" t="s">
        <v>246</v>
      </c>
      <c r="D387" t="s">
        <v>153</v>
      </c>
      <c r="E387" t="s">
        <v>26</v>
      </c>
      <c r="F387" t="s">
        <v>2</v>
      </c>
      <c r="G387" t="s">
        <v>194</v>
      </c>
      <c r="H387" t="s">
        <v>28</v>
      </c>
      <c r="I387" t="s">
        <v>234</v>
      </c>
      <c r="J387" t="str">
        <f>+VLOOKUP(A387,[1]Buscador!$B:$E,4,0)</f>
        <v>Santo Domingo de los Tsachilas</v>
      </c>
      <c r="K387" t="str">
        <f>+VLOOKUP(A387,[1]Buscador!$B:$F,5,0)</f>
        <v>Santo Domingo de los Tsáchilas</v>
      </c>
      <c r="L387" t="s">
        <v>31</v>
      </c>
      <c r="O387" t="s">
        <v>729</v>
      </c>
      <c r="P387" t="s">
        <v>730</v>
      </c>
      <c r="Q387" t="s">
        <v>195</v>
      </c>
      <c r="R387" t="s">
        <v>153</v>
      </c>
      <c r="T387" t="s">
        <v>1836</v>
      </c>
      <c r="V387" t="s">
        <v>1961</v>
      </c>
      <c r="W387">
        <v>-0.25177914970624998</v>
      </c>
      <c r="X387">
        <v>-79.164858575815003</v>
      </c>
      <c r="Y387">
        <v>0</v>
      </c>
      <c r="Z387">
        <f>+VLOOKUP(H387,Evalua!$G$2:$H$12,2,0)</f>
        <v>1</v>
      </c>
      <c r="AA387">
        <f>+VLOOKUP(I387,Evalua!$G$2:$H$12,2,0)</f>
        <v>1</v>
      </c>
    </row>
    <row r="388" spans="1:27" x14ac:dyDescent="0.2">
      <c r="A388" s="1" t="s">
        <v>1837</v>
      </c>
      <c r="B388" t="s">
        <v>195</v>
      </c>
      <c r="C388" t="s">
        <v>195</v>
      </c>
      <c r="D388" t="s">
        <v>153</v>
      </c>
      <c r="E388" t="s">
        <v>26</v>
      </c>
      <c r="F388" t="s">
        <v>39</v>
      </c>
      <c r="G388" t="s">
        <v>194</v>
      </c>
      <c r="H388" t="s">
        <v>28</v>
      </c>
      <c r="I388" t="s">
        <v>234</v>
      </c>
      <c r="J388" t="str">
        <f>+VLOOKUP(A388,[1]Buscador!$B:$E,4,0)</f>
        <v>Santo Domingo de los Tsachilas</v>
      </c>
      <c r="K388" t="str">
        <f>+VLOOKUP(A388,[1]Buscador!$B:$F,5,0)</f>
        <v>Santo Domingo de los Tsáchilas</v>
      </c>
      <c r="L388" t="s">
        <v>31</v>
      </c>
      <c r="M388">
        <v>30</v>
      </c>
      <c r="N388">
        <v>7.2857142857142856</v>
      </c>
      <c r="O388" t="s">
        <v>729</v>
      </c>
      <c r="P388" t="s">
        <v>730</v>
      </c>
      <c r="Q388" t="s">
        <v>195</v>
      </c>
      <c r="R388" t="s">
        <v>153</v>
      </c>
      <c r="T388" t="s">
        <v>1838</v>
      </c>
      <c r="V388" t="s">
        <v>1961</v>
      </c>
      <c r="W388">
        <v>-0.25177914970624998</v>
      </c>
      <c r="X388">
        <v>-79.164858575815003</v>
      </c>
      <c r="Y388">
        <v>0</v>
      </c>
      <c r="Z388">
        <f>+VLOOKUP(H388,Evalua!$G$2:$H$12,2,0)</f>
        <v>1</v>
      </c>
      <c r="AA388">
        <f>+VLOOKUP(I388,Evalua!$G$2:$H$12,2,0)</f>
        <v>1</v>
      </c>
    </row>
    <row r="389" spans="1:27" x14ac:dyDescent="0.2">
      <c r="A389" s="1" t="s">
        <v>1839</v>
      </c>
      <c r="B389" t="s">
        <v>1840</v>
      </c>
      <c r="C389" t="s">
        <v>58</v>
      </c>
      <c r="D389" t="s">
        <v>153</v>
      </c>
      <c r="E389" t="s">
        <v>26</v>
      </c>
      <c r="F389" t="s">
        <v>2</v>
      </c>
      <c r="G389" t="s">
        <v>46</v>
      </c>
      <c r="H389" t="s">
        <v>28</v>
      </c>
      <c r="I389" t="s">
        <v>29</v>
      </c>
      <c r="J389" t="str">
        <f>+VLOOKUP(A389,[1]Buscador!$B:$E,4,0)</f>
        <v>Guayaquil</v>
      </c>
      <c r="K389" t="str">
        <f>+VLOOKUP(A389,[1]Buscador!$B:$F,5,0)</f>
        <v>Guayas</v>
      </c>
      <c r="L389" t="s">
        <v>31</v>
      </c>
      <c r="O389" t="s">
        <v>32</v>
      </c>
      <c r="P389" t="s">
        <v>33</v>
      </c>
      <c r="Q389" t="s">
        <v>1538</v>
      </c>
      <c r="R389" t="s">
        <v>153</v>
      </c>
      <c r="T389" t="s">
        <v>1841</v>
      </c>
      <c r="V389" t="s">
        <v>1962</v>
      </c>
      <c r="W389">
        <v>-2.1426674740639</v>
      </c>
      <c r="X389">
        <v>-79.879234608459001</v>
      </c>
      <c r="Y389">
        <v>0</v>
      </c>
      <c r="Z389">
        <f>+VLOOKUP(H389,Evalua!$G$2:$H$12,2,0)</f>
        <v>1</v>
      </c>
      <c r="AA389">
        <f>+VLOOKUP(I389,Evalua!$G$2:$H$12,2,0)</f>
        <v>2</v>
      </c>
    </row>
    <row r="390" spans="1:27" x14ac:dyDescent="0.2">
      <c r="A390" s="1" t="s">
        <v>1842</v>
      </c>
      <c r="B390" t="s">
        <v>1843</v>
      </c>
      <c r="C390" t="s">
        <v>58</v>
      </c>
      <c r="D390" t="s">
        <v>153</v>
      </c>
      <c r="E390" t="s">
        <v>26</v>
      </c>
      <c r="F390" t="s">
        <v>2</v>
      </c>
      <c r="G390" t="s">
        <v>46</v>
      </c>
      <c r="H390" t="s">
        <v>28</v>
      </c>
      <c r="I390" t="s">
        <v>29</v>
      </c>
      <c r="J390" t="str">
        <f>+VLOOKUP(A390,[1]Buscador!$B:$E,4,0)</f>
        <v>Guayaquil</v>
      </c>
      <c r="K390" t="str">
        <f>+VLOOKUP(A390,[1]Buscador!$B:$F,5,0)</f>
        <v>Guayas</v>
      </c>
      <c r="L390" t="s">
        <v>31</v>
      </c>
      <c r="O390" t="s">
        <v>32</v>
      </c>
      <c r="P390" t="s">
        <v>33</v>
      </c>
      <c r="Q390" t="s">
        <v>1538</v>
      </c>
      <c r="R390" t="s">
        <v>153</v>
      </c>
      <c r="T390" t="s">
        <v>1844</v>
      </c>
      <c r="V390" t="s">
        <v>1962</v>
      </c>
      <c r="W390">
        <v>-2.1426674740639</v>
      </c>
      <c r="X390">
        <v>-79.879234608459001</v>
      </c>
      <c r="Y390">
        <v>0</v>
      </c>
      <c r="Z390">
        <f>+VLOOKUP(H390,Evalua!$G$2:$H$12,2,0)</f>
        <v>1</v>
      </c>
      <c r="AA390">
        <f>+VLOOKUP(I390,Evalua!$G$2:$H$12,2,0)</f>
        <v>2</v>
      </c>
    </row>
    <row r="391" spans="1:27" x14ac:dyDescent="0.2">
      <c r="A391" s="1" t="s">
        <v>1845</v>
      </c>
      <c r="B391" t="s">
        <v>1846</v>
      </c>
      <c r="C391" t="s">
        <v>58</v>
      </c>
      <c r="D391" t="s">
        <v>153</v>
      </c>
      <c r="E391" t="s">
        <v>26</v>
      </c>
      <c r="F391" t="s">
        <v>2</v>
      </c>
      <c r="G391" t="s">
        <v>46</v>
      </c>
      <c r="H391" t="s">
        <v>28</v>
      </c>
      <c r="I391" t="s">
        <v>29</v>
      </c>
      <c r="J391" t="str">
        <f>+VLOOKUP(A391,[1]Buscador!$B:$E,4,0)</f>
        <v>Guayaquil</v>
      </c>
      <c r="K391" t="str">
        <f>+VLOOKUP(A391,[1]Buscador!$B:$F,5,0)</f>
        <v>Guayas</v>
      </c>
      <c r="L391" t="s">
        <v>31</v>
      </c>
      <c r="O391" t="s">
        <v>32</v>
      </c>
      <c r="P391" t="s">
        <v>33</v>
      </c>
      <c r="Q391" t="s">
        <v>1538</v>
      </c>
      <c r="R391" t="s">
        <v>153</v>
      </c>
      <c r="T391" t="s">
        <v>1847</v>
      </c>
      <c r="V391" t="s">
        <v>1962</v>
      </c>
      <c r="W391">
        <v>-2.1426674740639</v>
      </c>
      <c r="X391">
        <v>-79.879234608459001</v>
      </c>
      <c r="Y391">
        <v>0</v>
      </c>
      <c r="Z391">
        <f>+VLOOKUP(H391,Evalua!$G$2:$H$12,2,0)</f>
        <v>1</v>
      </c>
      <c r="AA391">
        <f>+VLOOKUP(I391,Evalua!$G$2:$H$12,2,0)</f>
        <v>2</v>
      </c>
    </row>
    <row r="392" spans="1:27" x14ac:dyDescent="0.2">
      <c r="A392" s="1" t="s">
        <v>1848</v>
      </c>
      <c r="B392" t="s">
        <v>1849</v>
      </c>
      <c r="C392" t="s">
        <v>58</v>
      </c>
      <c r="D392" t="s">
        <v>153</v>
      </c>
      <c r="E392" t="s">
        <v>26</v>
      </c>
      <c r="F392" t="s">
        <v>2</v>
      </c>
      <c r="G392" t="s">
        <v>46</v>
      </c>
      <c r="H392" t="s">
        <v>28</v>
      </c>
      <c r="I392" t="s">
        <v>29</v>
      </c>
      <c r="J392" t="str">
        <f>+VLOOKUP(A392,[1]Buscador!$B:$E,4,0)</f>
        <v>Guayaquil</v>
      </c>
      <c r="K392" t="str">
        <f>+VLOOKUP(A392,[1]Buscador!$B:$F,5,0)</f>
        <v>Guayas</v>
      </c>
      <c r="L392" t="s">
        <v>31</v>
      </c>
      <c r="O392" t="s">
        <v>32</v>
      </c>
      <c r="P392" t="s">
        <v>33</v>
      </c>
      <c r="Q392" t="s">
        <v>1538</v>
      </c>
      <c r="R392" t="s">
        <v>153</v>
      </c>
      <c r="T392" t="s">
        <v>1850</v>
      </c>
      <c r="V392" t="s">
        <v>1962</v>
      </c>
      <c r="W392">
        <v>-2.1426674740639</v>
      </c>
      <c r="X392">
        <v>-79.879234608459001</v>
      </c>
      <c r="Y392">
        <v>0</v>
      </c>
      <c r="Z392">
        <f>+VLOOKUP(H392,Evalua!$G$2:$H$12,2,0)</f>
        <v>1</v>
      </c>
      <c r="AA392">
        <f>+VLOOKUP(I392,Evalua!$G$2:$H$12,2,0)</f>
        <v>2</v>
      </c>
    </row>
    <row r="393" spans="1:27" x14ac:dyDescent="0.2">
      <c r="A393" s="1" t="s">
        <v>1851</v>
      </c>
      <c r="B393" t="s">
        <v>1538</v>
      </c>
      <c r="C393" t="s">
        <v>1538</v>
      </c>
      <c r="D393" t="s">
        <v>153</v>
      </c>
      <c r="E393" t="s">
        <v>26</v>
      </c>
      <c r="F393" t="s">
        <v>64</v>
      </c>
      <c r="G393" t="s">
        <v>46</v>
      </c>
      <c r="H393" t="s">
        <v>28</v>
      </c>
      <c r="I393" t="s">
        <v>29</v>
      </c>
      <c r="J393" t="str">
        <f>+VLOOKUP(A393,[1]Buscador!$B:$E,4,0)</f>
        <v>Guayaquil</v>
      </c>
      <c r="K393" t="str">
        <f>+VLOOKUP(A393,[1]Buscador!$B:$F,5,0)</f>
        <v>Guayas</v>
      </c>
      <c r="L393" t="s">
        <v>153</v>
      </c>
      <c r="O393" t="s">
        <v>32</v>
      </c>
      <c r="P393" t="s">
        <v>33</v>
      </c>
      <c r="Q393" t="s">
        <v>1538</v>
      </c>
      <c r="R393" t="s">
        <v>153</v>
      </c>
      <c r="T393" t="s">
        <v>1852</v>
      </c>
      <c r="V393" t="s">
        <v>1962</v>
      </c>
      <c r="W393">
        <v>-2.1426674740639</v>
      </c>
      <c r="X393">
        <v>-79.879234608459001</v>
      </c>
      <c r="Y393">
        <v>0</v>
      </c>
      <c r="Z393">
        <f>+VLOOKUP(H393,Evalua!$G$2:$H$12,2,0)</f>
        <v>1</v>
      </c>
      <c r="AA393">
        <f>+VLOOKUP(I393,Evalua!$G$2:$H$12,2,0)</f>
        <v>2</v>
      </c>
    </row>
    <row r="394" spans="1:27" x14ac:dyDescent="0.2">
      <c r="A394" s="1" t="s">
        <v>1853</v>
      </c>
      <c r="B394" t="s">
        <v>1854</v>
      </c>
      <c r="C394" t="s">
        <v>1543</v>
      </c>
      <c r="D394" t="s">
        <v>153</v>
      </c>
      <c r="E394" t="s">
        <v>26</v>
      </c>
      <c r="F394" t="s">
        <v>2</v>
      </c>
      <c r="G394" t="s">
        <v>46</v>
      </c>
      <c r="H394" t="s">
        <v>28</v>
      </c>
      <c r="I394" t="s">
        <v>29</v>
      </c>
      <c r="J394" t="str">
        <f>+VLOOKUP(A394,[1]Buscador!$B:$E,4,0)</f>
        <v>Guayaquil</v>
      </c>
      <c r="K394" t="str">
        <f>+VLOOKUP(A394,[1]Buscador!$B:$F,5,0)</f>
        <v>Guayas</v>
      </c>
      <c r="L394" t="s">
        <v>153</v>
      </c>
      <c r="O394" t="s">
        <v>32</v>
      </c>
      <c r="P394" t="s">
        <v>33</v>
      </c>
      <c r="Q394" t="s">
        <v>1543</v>
      </c>
      <c r="R394" t="s">
        <v>153</v>
      </c>
      <c r="T394" t="s">
        <v>1855</v>
      </c>
      <c r="V394" t="s">
        <v>1963</v>
      </c>
      <c r="W394">
        <v>-2.0737460686847</v>
      </c>
      <c r="X394">
        <v>-79.940098529820006</v>
      </c>
      <c r="Y394">
        <v>0</v>
      </c>
      <c r="Z394">
        <f>+VLOOKUP(H394,Evalua!$G$2:$H$12,2,0)</f>
        <v>1</v>
      </c>
      <c r="AA394">
        <f>+VLOOKUP(I394,Evalua!$G$2:$H$12,2,0)</f>
        <v>2</v>
      </c>
    </row>
    <row r="395" spans="1:27" x14ac:dyDescent="0.2">
      <c r="A395" s="1" t="s">
        <v>1856</v>
      </c>
      <c r="B395" t="s">
        <v>1543</v>
      </c>
      <c r="C395" t="s">
        <v>1543</v>
      </c>
      <c r="D395" t="s">
        <v>153</v>
      </c>
      <c r="E395" t="s">
        <v>26</v>
      </c>
      <c r="F395" t="s">
        <v>64</v>
      </c>
      <c r="G395" t="s">
        <v>46</v>
      </c>
      <c r="H395" t="s">
        <v>28</v>
      </c>
      <c r="I395" t="s">
        <v>29</v>
      </c>
      <c r="J395" t="str">
        <f>+VLOOKUP(A395,[1]Buscador!$B:$E,4,0)</f>
        <v>Guayaquil</v>
      </c>
      <c r="K395" t="str">
        <f>+VLOOKUP(A395,[1]Buscador!$B:$F,5,0)</f>
        <v>Guayas</v>
      </c>
      <c r="L395" t="s">
        <v>153</v>
      </c>
      <c r="O395" t="s">
        <v>32</v>
      </c>
      <c r="P395" t="s">
        <v>33</v>
      </c>
      <c r="Q395" t="s">
        <v>1543</v>
      </c>
      <c r="R395" t="s">
        <v>153</v>
      </c>
      <c r="T395" t="s">
        <v>1857</v>
      </c>
      <c r="V395" t="s">
        <v>1963</v>
      </c>
      <c r="W395">
        <v>-2.0737460686847</v>
      </c>
      <c r="X395">
        <v>-79.940098529820006</v>
      </c>
      <c r="Y395">
        <v>0</v>
      </c>
      <c r="Z395">
        <f>+VLOOKUP(H395,Evalua!$G$2:$H$12,2,0)</f>
        <v>1</v>
      </c>
      <c r="AA395">
        <f>+VLOOKUP(I395,Evalua!$G$2:$H$12,2,0)</f>
        <v>2</v>
      </c>
    </row>
    <row r="396" spans="1:27" x14ac:dyDescent="0.2">
      <c r="A396" s="1" t="s">
        <v>1858</v>
      </c>
      <c r="B396" t="s">
        <v>1859</v>
      </c>
      <c r="C396" t="s">
        <v>1309</v>
      </c>
      <c r="D396" t="s">
        <v>153</v>
      </c>
      <c r="E396" t="s">
        <v>26</v>
      </c>
      <c r="F396" t="s">
        <v>2</v>
      </c>
      <c r="G396" t="s">
        <v>46</v>
      </c>
      <c r="H396" t="s">
        <v>28</v>
      </c>
      <c r="I396" t="s">
        <v>29</v>
      </c>
      <c r="J396" t="str">
        <f>+VLOOKUP(A396,[1]Buscador!$B:$E,4,0)</f>
        <v>Guayaquil</v>
      </c>
      <c r="K396" t="str">
        <f>+VLOOKUP(A396,[1]Buscador!$B:$F,5,0)</f>
        <v>Guayas</v>
      </c>
      <c r="L396" t="s">
        <v>31</v>
      </c>
      <c r="O396" t="s">
        <v>32</v>
      </c>
      <c r="P396" t="s">
        <v>33</v>
      </c>
      <c r="Q396" t="s">
        <v>1549</v>
      </c>
      <c r="R396" t="s">
        <v>153</v>
      </c>
      <c r="T396" t="s">
        <v>1860</v>
      </c>
      <c r="V396" t="s">
        <v>1964</v>
      </c>
      <c r="W396">
        <v>-2.0652925839496001</v>
      </c>
      <c r="X396">
        <v>-79.924221892204002</v>
      </c>
      <c r="Y396">
        <v>0</v>
      </c>
      <c r="Z396">
        <f>+VLOOKUP(H396,Evalua!$G$2:$H$12,2,0)</f>
        <v>1</v>
      </c>
      <c r="AA396">
        <f>+VLOOKUP(I396,Evalua!$G$2:$H$12,2,0)</f>
        <v>2</v>
      </c>
    </row>
    <row r="397" spans="1:27" x14ac:dyDescent="0.2">
      <c r="A397" s="1" t="s">
        <v>1861</v>
      </c>
      <c r="B397" t="s">
        <v>1549</v>
      </c>
      <c r="C397" t="s">
        <v>1549</v>
      </c>
      <c r="D397" t="s">
        <v>153</v>
      </c>
      <c r="E397" t="s">
        <v>26</v>
      </c>
      <c r="F397" t="s">
        <v>136</v>
      </c>
      <c r="G397" t="s">
        <v>46</v>
      </c>
      <c r="H397" t="s">
        <v>28</v>
      </c>
      <c r="I397" t="s">
        <v>29</v>
      </c>
      <c r="J397" t="str">
        <f>+VLOOKUP(A397,[1]Buscador!$B:$E,4,0)</f>
        <v>Guayaquil</v>
      </c>
      <c r="K397" t="str">
        <f>+VLOOKUP(A397,[1]Buscador!$B:$F,5,0)</f>
        <v>Guayas</v>
      </c>
      <c r="L397" t="s">
        <v>31</v>
      </c>
      <c r="O397" t="s">
        <v>32</v>
      </c>
      <c r="P397" t="s">
        <v>33</v>
      </c>
      <c r="Q397" t="s">
        <v>1549</v>
      </c>
      <c r="R397" t="s">
        <v>153</v>
      </c>
      <c r="T397" t="s">
        <v>1862</v>
      </c>
      <c r="V397" t="s">
        <v>1964</v>
      </c>
      <c r="W397">
        <v>-2.0652925839496001</v>
      </c>
      <c r="X397">
        <v>-79.924221892204002</v>
      </c>
      <c r="Y397">
        <v>0</v>
      </c>
      <c r="Z397">
        <f>+VLOOKUP(H397,Evalua!$G$2:$H$12,2,0)</f>
        <v>1</v>
      </c>
      <c r="AA397">
        <f>+VLOOKUP(I397,Evalua!$G$2:$H$12,2,0)</f>
        <v>2</v>
      </c>
    </row>
    <row r="398" spans="1:27" x14ac:dyDescent="0.2">
      <c r="A398" s="1" t="s">
        <v>1863</v>
      </c>
      <c r="B398" t="s">
        <v>1554</v>
      </c>
      <c r="C398" t="s">
        <v>1554</v>
      </c>
      <c r="D398" t="s">
        <v>153</v>
      </c>
      <c r="E398" t="s">
        <v>26</v>
      </c>
      <c r="F398" t="s">
        <v>136</v>
      </c>
      <c r="G398" t="s">
        <v>46</v>
      </c>
      <c r="H398" t="s">
        <v>28</v>
      </c>
      <c r="I398" t="s">
        <v>29</v>
      </c>
      <c r="J398" t="str">
        <f>+VLOOKUP(A398,[1]Buscador!$B:$E,4,0)</f>
        <v>Samborondón</v>
      </c>
      <c r="K398" t="str">
        <f>+VLOOKUP(A398,[1]Buscador!$B:$F,5,0)</f>
        <v>Guayas</v>
      </c>
      <c r="L398" t="s">
        <v>153</v>
      </c>
      <c r="O398" t="s">
        <v>32</v>
      </c>
      <c r="P398" t="s">
        <v>33</v>
      </c>
      <c r="Q398" t="s">
        <v>1554</v>
      </c>
      <c r="R398" t="s">
        <v>153</v>
      </c>
      <c r="T398" t="s">
        <v>1864</v>
      </c>
      <c r="V398" t="s">
        <v>1965</v>
      </c>
      <c r="W398">
        <v>-2.1325069999999999</v>
      </c>
      <c r="X398">
        <v>-79.865438999999995</v>
      </c>
      <c r="Y398">
        <v>0</v>
      </c>
      <c r="Z398">
        <f>+VLOOKUP(H398,Evalua!$G$2:$H$12,2,0)</f>
        <v>1</v>
      </c>
      <c r="AA398">
        <f>+VLOOKUP(I398,Evalua!$G$2:$H$12,2,0)</f>
        <v>2</v>
      </c>
    </row>
    <row r="399" spans="1:27" x14ac:dyDescent="0.2">
      <c r="A399" s="1" t="s">
        <v>1865</v>
      </c>
      <c r="B399" t="s">
        <v>1560</v>
      </c>
      <c r="C399" t="s">
        <v>1560</v>
      </c>
      <c r="D399" t="s">
        <v>153</v>
      </c>
      <c r="E399" t="s">
        <v>26</v>
      </c>
      <c r="F399" t="s">
        <v>136</v>
      </c>
      <c r="G399" t="s">
        <v>27</v>
      </c>
      <c r="H399" t="s">
        <v>28</v>
      </c>
      <c r="I399" t="s">
        <v>29</v>
      </c>
      <c r="J399" t="str">
        <f>+VLOOKUP(A399,[1]Buscador!$B:$E,4,0)</f>
        <v>Cumbaya</v>
      </c>
      <c r="K399" t="str">
        <f>+VLOOKUP(A399,[1]Buscador!$B:$F,5,0)</f>
        <v>Pichincha</v>
      </c>
      <c r="L399" t="s">
        <v>31</v>
      </c>
      <c r="O399" t="s">
        <v>32</v>
      </c>
      <c r="P399" t="s">
        <v>33</v>
      </c>
      <c r="Q399" t="s">
        <v>1560</v>
      </c>
      <c r="R399" t="s">
        <v>153</v>
      </c>
      <c r="T399" t="s">
        <v>1866</v>
      </c>
      <c r="V399" t="s">
        <v>1216</v>
      </c>
      <c r="W399">
        <v>-0.19676299999999999</v>
      </c>
      <c r="X399">
        <v>-78.435912999999999</v>
      </c>
      <c r="Y399">
        <v>0</v>
      </c>
      <c r="Z399">
        <f>+VLOOKUP(H399,Evalua!$G$2:$H$12,2,0)</f>
        <v>1</v>
      </c>
      <c r="AA399">
        <f>+VLOOKUP(I399,Evalua!$G$2:$H$12,2,0)</f>
        <v>2</v>
      </c>
    </row>
    <row r="400" spans="1:27" x14ac:dyDescent="0.2">
      <c r="A400" s="1" t="s">
        <v>1867</v>
      </c>
      <c r="B400" t="s">
        <v>1868</v>
      </c>
      <c r="C400" t="s">
        <v>1475</v>
      </c>
      <c r="D400" t="s">
        <v>153</v>
      </c>
      <c r="E400" t="s">
        <v>26</v>
      </c>
      <c r="F400" t="s">
        <v>2</v>
      </c>
      <c r="G400" t="s">
        <v>46</v>
      </c>
      <c r="H400" t="s">
        <v>81</v>
      </c>
      <c r="I400" t="s">
        <v>29</v>
      </c>
      <c r="J400" t="str">
        <f>+VLOOKUP(A400,[1]Buscador!$B:$E,4,0)</f>
        <v>Guayaquil</v>
      </c>
      <c r="K400" t="str">
        <f>+VLOOKUP(A400,[1]Buscador!$B:$F,5,0)</f>
        <v>Guayas</v>
      </c>
      <c r="L400" t="s">
        <v>31</v>
      </c>
      <c r="O400" t="s">
        <v>82</v>
      </c>
      <c r="P400" t="s">
        <v>83</v>
      </c>
      <c r="Q400" t="s">
        <v>1564</v>
      </c>
      <c r="R400" t="s">
        <v>153</v>
      </c>
      <c r="T400" t="s">
        <v>1869</v>
      </c>
      <c r="V400" t="s">
        <v>1966</v>
      </c>
      <c r="W400">
        <v>-2.175465</v>
      </c>
      <c r="X400">
        <v>-79.904724999999999</v>
      </c>
      <c r="Y400">
        <v>0</v>
      </c>
      <c r="Z400">
        <f>+VLOOKUP(H400,Evalua!$G$2:$H$12,2,0)</f>
        <v>3</v>
      </c>
      <c r="AA400">
        <f>+VLOOKUP(I400,Evalua!$G$2:$H$12,2,0)</f>
        <v>2</v>
      </c>
    </row>
    <row r="401" spans="1:27" x14ac:dyDescent="0.2">
      <c r="A401" s="1" t="s">
        <v>1870</v>
      </c>
      <c r="B401" t="s">
        <v>1871</v>
      </c>
      <c r="C401" t="s">
        <v>1475</v>
      </c>
      <c r="D401" t="s">
        <v>153</v>
      </c>
      <c r="E401" t="s">
        <v>26</v>
      </c>
      <c r="F401" t="s">
        <v>2</v>
      </c>
      <c r="G401" t="s">
        <v>46</v>
      </c>
      <c r="H401" t="s">
        <v>81</v>
      </c>
      <c r="I401" t="s">
        <v>29</v>
      </c>
      <c r="J401" t="str">
        <f>+VLOOKUP(A401,[1]Buscador!$B:$E,4,0)</f>
        <v>Guayaquil</v>
      </c>
      <c r="K401" t="str">
        <f>+VLOOKUP(A401,[1]Buscador!$B:$F,5,0)</f>
        <v>Guayas</v>
      </c>
      <c r="L401" t="s">
        <v>31</v>
      </c>
      <c r="O401" t="s">
        <v>82</v>
      </c>
      <c r="P401" t="s">
        <v>83</v>
      </c>
      <c r="Q401" t="s">
        <v>1564</v>
      </c>
      <c r="R401" t="s">
        <v>153</v>
      </c>
      <c r="T401" t="s">
        <v>1872</v>
      </c>
      <c r="V401" t="s">
        <v>1966</v>
      </c>
      <c r="W401">
        <v>-2.175465</v>
      </c>
      <c r="X401">
        <v>-79.904724999999999</v>
      </c>
      <c r="Y401">
        <v>0</v>
      </c>
      <c r="Z401">
        <f>+VLOOKUP(H401,Evalua!$G$2:$H$12,2,0)</f>
        <v>3</v>
      </c>
      <c r="AA401">
        <f>+VLOOKUP(I401,Evalua!$G$2:$H$12,2,0)</f>
        <v>2</v>
      </c>
    </row>
    <row r="402" spans="1:27" x14ac:dyDescent="0.2">
      <c r="A402" s="1" t="s">
        <v>1873</v>
      </c>
      <c r="B402" t="s">
        <v>1564</v>
      </c>
      <c r="C402" t="s">
        <v>1564</v>
      </c>
      <c r="D402" t="s">
        <v>153</v>
      </c>
      <c r="E402" t="s">
        <v>26</v>
      </c>
      <c r="F402" t="s">
        <v>39</v>
      </c>
      <c r="G402" t="s">
        <v>46</v>
      </c>
      <c r="H402" t="s">
        <v>81</v>
      </c>
      <c r="I402" t="s">
        <v>29</v>
      </c>
      <c r="J402" t="str">
        <f>+VLOOKUP(A402,[1]Buscador!$B:$E,4,0)</f>
        <v>Guayaquil</v>
      </c>
      <c r="K402" t="str">
        <f>+VLOOKUP(A402,[1]Buscador!$B:$F,5,0)</f>
        <v>Guayas</v>
      </c>
      <c r="L402" t="s">
        <v>31</v>
      </c>
      <c r="M402">
        <v>30</v>
      </c>
      <c r="N402">
        <v>7.2857142857142856</v>
      </c>
      <c r="O402" t="s">
        <v>82</v>
      </c>
      <c r="P402" t="s">
        <v>83</v>
      </c>
      <c r="Q402" t="s">
        <v>1564</v>
      </c>
      <c r="R402" t="s">
        <v>153</v>
      </c>
      <c r="T402" t="s">
        <v>1874</v>
      </c>
      <c r="V402" t="s">
        <v>1966</v>
      </c>
      <c r="W402">
        <v>-2.175465</v>
      </c>
      <c r="X402">
        <v>-79.904724999999999</v>
      </c>
      <c r="Y402">
        <v>0</v>
      </c>
      <c r="Z402">
        <f>+VLOOKUP(H402,Evalua!$G$2:$H$12,2,0)</f>
        <v>3</v>
      </c>
      <c r="AA402">
        <f>+VLOOKUP(I402,Evalua!$G$2:$H$12,2,0)</f>
        <v>2</v>
      </c>
    </row>
    <row r="403" spans="1:27" x14ac:dyDescent="0.2">
      <c r="A403" s="1" t="s">
        <v>1875</v>
      </c>
      <c r="B403" t="s">
        <v>1876</v>
      </c>
      <c r="C403" t="s">
        <v>1877</v>
      </c>
      <c r="D403" t="s">
        <v>153</v>
      </c>
      <c r="E403" t="s">
        <v>26</v>
      </c>
      <c r="F403" t="s">
        <v>2</v>
      </c>
      <c r="G403" t="s">
        <v>46</v>
      </c>
      <c r="H403" t="s">
        <v>81</v>
      </c>
      <c r="I403" t="s">
        <v>29</v>
      </c>
      <c r="J403" t="str">
        <f>+VLOOKUP(A403,[1]Buscador!$B:$E,4,0)</f>
        <v>Guayaquil</v>
      </c>
      <c r="K403" t="str">
        <f>+VLOOKUP(A403,[1]Buscador!$B:$F,5,0)</f>
        <v>Guayas</v>
      </c>
      <c r="L403" t="s">
        <v>31</v>
      </c>
      <c r="O403" t="s">
        <v>82</v>
      </c>
      <c r="P403" t="s">
        <v>83</v>
      </c>
      <c r="Q403" t="s">
        <v>1568</v>
      </c>
      <c r="R403" t="s">
        <v>153</v>
      </c>
      <c r="T403" t="s">
        <v>1878</v>
      </c>
      <c r="V403" t="s">
        <v>1967</v>
      </c>
      <c r="W403">
        <v>-2.1000865084670299</v>
      </c>
      <c r="X403">
        <v>-79.936061564144794</v>
      </c>
      <c r="Y403">
        <v>0</v>
      </c>
      <c r="Z403">
        <f>+VLOOKUP(H403,Evalua!$G$2:$H$12,2,0)</f>
        <v>3</v>
      </c>
      <c r="AA403">
        <f>+VLOOKUP(I403,Evalua!$G$2:$H$12,2,0)</f>
        <v>2</v>
      </c>
    </row>
    <row r="404" spans="1:27" x14ac:dyDescent="0.2">
      <c r="A404" s="1" t="s">
        <v>1879</v>
      </c>
      <c r="B404" t="s">
        <v>1568</v>
      </c>
      <c r="C404" t="s">
        <v>1568</v>
      </c>
      <c r="D404" t="s">
        <v>153</v>
      </c>
      <c r="E404" t="s">
        <v>26</v>
      </c>
      <c r="F404" t="s">
        <v>64</v>
      </c>
      <c r="G404" t="s">
        <v>46</v>
      </c>
      <c r="H404" t="s">
        <v>81</v>
      </c>
      <c r="I404" t="s">
        <v>29</v>
      </c>
      <c r="J404" t="str">
        <f>+VLOOKUP(A404,[1]Buscador!$B:$E,4,0)</f>
        <v>Guayaquil</v>
      </c>
      <c r="K404" t="str">
        <f>+VLOOKUP(A404,[1]Buscador!$B:$F,5,0)</f>
        <v>Guayas</v>
      </c>
      <c r="L404" t="s">
        <v>31</v>
      </c>
      <c r="O404" t="s">
        <v>82</v>
      </c>
      <c r="P404" t="s">
        <v>83</v>
      </c>
      <c r="Q404" t="s">
        <v>1568</v>
      </c>
      <c r="R404" t="s">
        <v>153</v>
      </c>
      <c r="T404" t="s">
        <v>1880</v>
      </c>
      <c r="V404" t="s">
        <v>1967</v>
      </c>
      <c r="W404">
        <v>-2.1000865084670299</v>
      </c>
      <c r="X404">
        <v>-79.936061564144794</v>
      </c>
      <c r="Y404">
        <v>0</v>
      </c>
      <c r="Z404">
        <f>+VLOOKUP(H404,Evalua!$G$2:$H$12,2,0)</f>
        <v>3</v>
      </c>
      <c r="AA404">
        <f>+VLOOKUP(I404,Evalua!$G$2:$H$12,2,0)</f>
        <v>2</v>
      </c>
    </row>
    <row r="405" spans="1:27" x14ac:dyDescent="0.2">
      <c r="A405" t="s">
        <v>1971</v>
      </c>
      <c r="B405" t="s">
        <v>1975</v>
      </c>
      <c r="C405" t="s">
        <v>1975</v>
      </c>
      <c r="E405" t="s">
        <v>26</v>
      </c>
      <c r="F405" t="s">
        <v>99</v>
      </c>
      <c r="H405" t="s">
        <v>28</v>
      </c>
      <c r="I405" t="s">
        <v>29</v>
      </c>
      <c r="K405" t="s">
        <v>1904</v>
      </c>
      <c r="L405" t="s">
        <v>31</v>
      </c>
      <c r="O405" t="s">
        <v>82</v>
      </c>
      <c r="Q405" t="str">
        <f>B405</f>
        <v>TUTI QUITUMBE</v>
      </c>
      <c r="R405" t="s">
        <v>153</v>
      </c>
      <c r="V405" t="s">
        <v>1979</v>
      </c>
      <c r="W405">
        <v>-0.29636019146092102</v>
      </c>
      <c r="X405">
        <v>-78.546334088160293</v>
      </c>
      <c r="Y405">
        <v>0</v>
      </c>
      <c r="Z405">
        <f>+VLOOKUP(H405,Evalua!$G$2:$H$12,2,0)</f>
        <v>1</v>
      </c>
      <c r="AA405">
        <f>+VLOOKUP(I405,Evalua!$G$2:$H$12,2,0)</f>
        <v>2</v>
      </c>
    </row>
    <row r="406" spans="1:27" x14ac:dyDescent="0.2">
      <c r="A406" t="s">
        <v>1972</v>
      </c>
      <c r="B406" t="s">
        <v>1976</v>
      </c>
      <c r="C406" t="s">
        <v>1976</v>
      </c>
      <c r="E406" t="s">
        <v>26</v>
      </c>
      <c r="F406" t="s">
        <v>99</v>
      </c>
      <c r="H406" t="s">
        <v>81</v>
      </c>
      <c r="I406" t="s">
        <v>29</v>
      </c>
      <c r="J406" t="s">
        <v>1984</v>
      </c>
      <c r="K406" t="s">
        <v>1910</v>
      </c>
      <c r="L406" t="s">
        <v>31</v>
      </c>
      <c r="O406" t="s">
        <v>82</v>
      </c>
      <c r="Q406" t="str">
        <f t="shared" ref="Q406:Q409" si="0">B406</f>
        <v>TUTI VENTANAS</v>
      </c>
      <c r="R406" t="s">
        <v>153</v>
      </c>
      <c r="V406" t="s">
        <v>1980</v>
      </c>
      <c r="W406">
        <v>-1.4443708373524999</v>
      </c>
      <c r="X406">
        <v>-79.463636302702398</v>
      </c>
      <c r="Y406">
        <v>0</v>
      </c>
      <c r="Z406">
        <f>+VLOOKUP(H406,Evalua!$G$2:$H$12,2,0)</f>
        <v>3</v>
      </c>
      <c r="AA406">
        <f>+VLOOKUP(I406,Evalua!$G$2:$H$12,2,0)</f>
        <v>2</v>
      </c>
    </row>
    <row r="407" spans="1:27" x14ac:dyDescent="0.2">
      <c r="A407" t="s">
        <v>1973</v>
      </c>
      <c r="B407" t="s">
        <v>1977</v>
      </c>
      <c r="C407" t="s">
        <v>1977</v>
      </c>
      <c r="E407" t="s">
        <v>26</v>
      </c>
      <c r="F407" t="s">
        <v>99</v>
      </c>
      <c r="H407" t="s">
        <v>123</v>
      </c>
      <c r="I407" t="s">
        <v>29</v>
      </c>
      <c r="J407" t="s">
        <v>1985</v>
      </c>
      <c r="K407" t="s">
        <v>1910</v>
      </c>
      <c r="L407" t="s">
        <v>31</v>
      </c>
      <c r="O407" t="s">
        <v>125</v>
      </c>
      <c r="Q407" t="str">
        <f t="shared" si="0"/>
        <v>TUTI VINCES</v>
      </c>
      <c r="R407" t="s">
        <v>153</v>
      </c>
      <c r="V407" t="s">
        <v>1981</v>
      </c>
      <c r="W407">
        <v>-1.5557944004363</v>
      </c>
      <c r="X407">
        <v>-79.753084928519101</v>
      </c>
      <c r="Y407">
        <v>0</v>
      </c>
      <c r="Z407">
        <f>+VLOOKUP(H407,Evalua!$G$2:$H$12,2,0)</f>
        <v>4</v>
      </c>
      <c r="AA407">
        <f>+VLOOKUP(I407,Evalua!$G$2:$H$12,2,0)</f>
        <v>2</v>
      </c>
    </row>
    <row r="408" spans="1:27" x14ac:dyDescent="0.2">
      <c r="A408" t="s">
        <v>1974</v>
      </c>
      <c r="B408" t="s">
        <v>1978</v>
      </c>
      <c r="C408" t="s">
        <v>1978</v>
      </c>
      <c r="E408" t="s">
        <v>26</v>
      </c>
      <c r="F408" t="s">
        <v>99</v>
      </c>
      <c r="H408" t="s">
        <v>28</v>
      </c>
      <c r="I408" t="s">
        <v>234</v>
      </c>
      <c r="J408" t="s">
        <v>1986</v>
      </c>
      <c r="K408" t="s">
        <v>1912</v>
      </c>
      <c r="L408" t="s">
        <v>31</v>
      </c>
      <c r="O408" t="s">
        <v>32</v>
      </c>
      <c r="Q408" t="str">
        <f t="shared" si="0"/>
        <v>MALL DEL ALTO</v>
      </c>
      <c r="R408" t="s">
        <v>153</v>
      </c>
      <c r="V408" t="s">
        <v>1982</v>
      </c>
      <c r="W408">
        <v>-2.9212715434676202</v>
      </c>
      <c r="X408">
        <v>-79.015012422895197</v>
      </c>
      <c r="Y408">
        <v>0</v>
      </c>
      <c r="Z408">
        <f>+VLOOKUP(H408,Evalua!$G$2:$H$12,2,0)</f>
        <v>1</v>
      </c>
      <c r="AA408">
        <f>+VLOOKUP(I408,Evalua!$G$2:$H$12,2,0)</f>
        <v>1</v>
      </c>
    </row>
    <row r="409" spans="1:27" x14ac:dyDescent="0.2">
      <c r="A409" t="s">
        <v>1983</v>
      </c>
      <c r="B409" t="s">
        <v>1978</v>
      </c>
      <c r="C409" t="s">
        <v>1978</v>
      </c>
      <c r="E409" t="s">
        <v>26</v>
      </c>
      <c r="F409" t="s">
        <v>2</v>
      </c>
      <c r="H409" t="s">
        <v>28</v>
      </c>
      <c r="I409" t="s">
        <v>234</v>
      </c>
      <c r="J409" t="s">
        <v>1986</v>
      </c>
      <c r="K409" t="s">
        <v>1912</v>
      </c>
      <c r="L409" t="s">
        <v>31</v>
      </c>
      <c r="O409" t="s">
        <v>32</v>
      </c>
      <c r="Q409" t="str">
        <f t="shared" si="0"/>
        <v>MALL DEL ALTO</v>
      </c>
      <c r="R409" t="s">
        <v>153</v>
      </c>
      <c r="V409" t="s">
        <v>1982</v>
      </c>
      <c r="W409">
        <v>-2.9212715434676202</v>
      </c>
      <c r="X409">
        <v>-79.015012422895197</v>
      </c>
      <c r="Y409">
        <v>0</v>
      </c>
      <c r="Z409">
        <f>+VLOOKUP(H409,Evalua!$G$2:$H$12,2,0)</f>
        <v>1</v>
      </c>
      <c r="AA409">
        <f>+VLOOKUP(I409,Evalua!$G$2:$H$12,2,0)</f>
        <v>1</v>
      </c>
    </row>
  </sheetData>
  <autoFilter ref="A1:Z4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G1" sqref="G1:I20"/>
    </sheetView>
  </sheetViews>
  <sheetFormatPr baseColWidth="10" defaultRowHeight="12.75" x14ac:dyDescent="0.2"/>
  <cols>
    <col min="1" max="1024" width="15"/>
  </cols>
  <sheetData>
    <row r="1" spans="1:8" x14ac:dyDescent="0.2">
      <c r="A1" t="s">
        <v>12</v>
      </c>
      <c r="B1" t="s">
        <v>1881</v>
      </c>
      <c r="C1" t="s">
        <v>1882</v>
      </c>
      <c r="D1" t="s">
        <v>13</v>
      </c>
    </row>
    <row r="2" spans="1:8" x14ac:dyDescent="0.2">
      <c r="A2" t="s">
        <v>370</v>
      </c>
      <c r="B2" t="s">
        <v>123</v>
      </c>
      <c r="C2" t="s">
        <v>160</v>
      </c>
      <c r="D2" t="s">
        <v>126</v>
      </c>
      <c r="G2" t="str" cm="1">
        <f t="array" ref="G2:G7">+_xlfn.UNIQUE(Hoja1!H:H)</f>
        <v>NIVEL DE RIESGO INUNDACION</v>
      </c>
    </row>
    <row r="3" spans="1:8" x14ac:dyDescent="0.2">
      <c r="A3" t="s">
        <v>125</v>
      </c>
      <c r="B3" t="s">
        <v>123</v>
      </c>
      <c r="C3" t="s">
        <v>29</v>
      </c>
      <c r="D3" t="s">
        <v>126</v>
      </c>
      <c r="G3" t="str">
        <v>Bajo / Seguro</v>
      </c>
      <c r="H3">
        <v>1</v>
      </c>
    </row>
    <row r="4" spans="1:8" x14ac:dyDescent="0.2">
      <c r="A4" t="s">
        <v>990</v>
      </c>
      <c r="B4" t="s">
        <v>123</v>
      </c>
      <c r="C4" t="s">
        <v>234</v>
      </c>
      <c r="D4" t="s">
        <v>83</v>
      </c>
      <c r="G4" t="str">
        <v>Medio (Se inunda la calle)</v>
      </c>
      <c r="H4">
        <v>3</v>
      </c>
    </row>
    <row r="5" spans="1:8" x14ac:dyDescent="0.2">
      <c r="A5" t="s">
        <v>208</v>
      </c>
      <c r="B5" t="s">
        <v>81</v>
      </c>
      <c r="C5" t="s">
        <v>160</v>
      </c>
      <c r="D5" t="s">
        <v>126</v>
      </c>
      <c r="G5" t="str">
        <v>Crítico (Se inunda punto de atención)</v>
      </c>
      <c r="H5">
        <v>4</v>
      </c>
    </row>
    <row r="6" spans="1:8" x14ac:dyDescent="0.2">
      <c r="A6" t="s">
        <v>82</v>
      </c>
      <c r="B6" t="s">
        <v>81</v>
      </c>
      <c r="C6" t="s">
        <v>29</v>
      </c>
      <c r="D6" t="s">
        <v>83</v>
      </c>
      <c r="G6" t="str">
        <v>Medio (Filtracion superficial)</v>
      </c>
      <c r="H6">
        <v>2</v>
      </c>
    </row>
    <row r="7" spans="1:8" x14ac:dyDescent="0.2">
      <c r="A7" t="s">
        <v>235</v>
      </c>
      <c r="B7" t="s">
        <v>81</v>
      </c>
      <c r="C7" t="s">
        <v>234</v>
      </c>
      <c r="D7" t="s">
        <v>33</v>
      </c>
      <c r="G7">
        <v>0</v>
      </c>
    </row>
    <row r="8" spans="1:8" x14ac:dyDescent="0.2">
      <c r="A8" t="s">
        <v>162</v>
      </c>
      <c r="B8" t="s">
        <v>28</v>
      </c>
      <c r="C8" t="s">
        <v>160</v>
      </c>
      <c r="D8" t="s">
        <v>83</v>
      </c>
    </row>
    <row r="9" spans="1:8" x14ac:dyDescent="0.2">
      <c r="A9" t="s">
        <v>32</v>
      </c>
      <c r="B9" t="s">
        <v>28</v>
      </c>
      <c r="C9" t="s">
        <v>29</v>
      </c>
      <c r="D9" t="s">
        <v>33</v>
      </c>
      <c r="G9" t="str" cm="1">
        <f t="array" ref="G9:G13">+_xlfn.UNIQUE(Hoja1!I:I)</f>
        <v>SENSIBILIDAD A CORTES ELECTRICOS</v>
      </c>
    </row>
    <row r="10" spans="1:8" x14ac:dyDescent="0.2">
      <c r="A10" t="s">
        <v>729</v>
      </c>
      <c r="B10" t="s">
        <v>28</v>
      </c>
      <c r="C10" t="s">
        <v>234</v>
      </c>
      <c r="D10" t="s">
        <v>730</v>
      </c>
      <c r="G10" t="str">
        <v>Media (Cortes esporádicos)</v>
      </c>
      <c r="H10">
        <v>2</v>
      </c>
    </row>
    <row r="11" spans="1:8" x14ac:dyDescent="0.2">
      <c r="A11" t="s">
        <v>1883</v>
      </c>
      <c r="B11" t="s">
        <v>1392</v>
      </c>
      <c r="C11" t="s">
        <v>160</v>
      </c>
      <c r="D11" t="s">
        <v>83</v>
      </c>
      <c r="G11" t="str">
        <v>Alta (Corte inmediato)</v>
      </c>
      <c r="H11">
        <v>3</v>
      </c>
    </row>
    <row r="12" spans="1:8" x14ac:dyDescent="0.2">
      <c r="A12" t="s">
        <v>1393</v>
      </c>
      <c r="B12" t="s">
        <v>1392</v>
      </c>
      <c r="C12" t="s">
        <v>29</v>
      </c>
      <c r="D12" t="s">
        <v>33</v>
      </c>
      <c r="G12" t="str">
        <v>Baja (Línea prioritaria)</v>
      </c>
      <c r="H12">
        <v>1</v>
      </c>
    </row>
    <row r="13" spans="1:8" x14ac:dyDescent="0.2">
      <c r="A13" t="s">
        <v>1581</v>
      </c>
      <c r="B13" t="s">
        <v>1392</v>
      </c>
      <c r="C13" t="s">
        <v>234</v>
      </c>
      <c r="D13" t="s">
        <v>730</v>
      </c>
      <c r="G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RowHeight="12.75" x14ac:dyDescent="0.2"/>
  <cols>
    <col min="1" max="1024" width="15"/>
  </cols>
  <sheetData>
    <row r="1" spans="1:6" x14ac:dyDescent="0.2">
      <c r="A1" t="s">
        <v>1884</v>
      </c>
      <c r="C1" t="s">
        <v>1885</v>
      </c>
    </row>
    <row r="2" spans="1:6" x14ac:dyDescent="0.2">
      <c r="A2" t="s">
        <v>123</v>
      </c>
      <c r="B2" t="s">
        <v>1886</v>
      </c>
      <c r="C2" t="s">
        <v>160</v>
      </c>
      <c r="D2" t="s">
        <v>160</v>
      </c>
      <c r="E2" t="s">
        <v>160</v>
      </c>
      <c r="F2" t="s">
        <v>1887</v>
      </c>
    </row>
    <row r="3" spans="1:6" x14ac:dyDescent="0.2">
      <c r="A3" t="s">
        <v>81</v>
      </c>
      <c r="B3" t="s">
        <v>1888</v>
      </c>
      <c r="C3" t="s">
        <v>29</v>
      </c>
      <c r="D3" t="s">
        <v>29</v>
      </c>
      <c r="E3" t="s">
        <v>29</v>
      </c>
      <c r="F3" t="s">
        <v>1889</v>
      </c>
    </row>
    <row r="4" spans="1:6" x14ac:dyDescent="0.2">
      <c r="A4" t="s">
        <v>28</v>
      </c>
      <c r="B4" t="s">
        <v>1890</v>
      </c>
      <c r="C4" t="s">
        <v>234</v>
      </c>
      <c r="D4" t="s">
        <v>234</v>
      </c>
      <c r="E4" t="s">
        <v>234</v>
      </c>
      <c r="F4" t="s">
        <v>1891</v>
      </c>
    </row>
    <row r="5" spans="1:6" x14ac:dyDescent="0.2">
      <c r="A5" t="s">
        <v>1392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95"/>
  <sheetViews>
    <sheetView workbookViewId="0">
      <selection activeCell="C10" sqref="C10"/>
    </sheetView>
  </sheetViews>
  <sheetFormatPr baseColWidth="10" defaultRowHeight="12.75" x14ac:dyDescent="0.2"/>
  <cols>
    <col min="1" max="1024" width="15"/>
  </cols>
  <sheetData>
    <row r="1" spans="1:21" x14ac:dyDescent="0.2">
      <c r="A1" t="s">
        <v>12</v>
      </c>
      <c r="B1" t="s">
        <v>1892</v>
      </c>
      <c r="C1" t="s">
        <v>1893</v>
      </c>
      <c r="D1" t="s">
        <v>8</v>
      </c>
      <c r="E1" t="s">
        <v>1894</v>
      </c>
      <c r="F1" t="s">
        <v>1895</v>
      </c>
      <c r="G1" t="s">
        <v>13</v>
      </c>
      <c r="P1" t="s">
        <v>1896</v>
      </c>
      <c r="Q1" t="s">
        <v>1897</v>
      </c>
      <c r="R1" t="s">
        <v>1898</v>
      </c>
      <c r="S1" t="s">
        <v>1899</v>
      </c>
      <c r="T1" t="s">
        <v>1900</v>
      </c>
      <c r="U1" t="s">
        <v>1901</v>
      </c>
    </row>
    <row r="2" spans="1:21" x14ac:dyDescent="0.2">
      <c r="A2" t="s">
        <v>120</v>
      </c>
      <c r="B2" t="s">
        <v>75</v>
      </c>
      <c r="C2" t="s">
        <v>77</v>
      </c>
      <c r="D2" t="s">
        <v>124</v>
      </c>
      <c r="E2" t="s">
        <v>123</v>
      </c>
      <c r="F2" t="s">
        <v>29</v>
      </c>
      <c r="G2" t="s">
        <v>126</v>
      </c>
      <c r="P2" t="s">
        <v>1902</v>
      </c>
      <c r="Q2" t="s">
        <v>1081</v>
      </c>
      <c r="R2" t="s">
        <v>1585</v>
      </c>
      <c r="S2" t="s">
        <v>1790</v>
      </c>
      <c r="T2" t="s">
        <v>78</v>
      </c>
      <c r="U2" t="s">
        <v>1903</v>
      </c>
    </row>
    <row r="3" spans="1:21" x14ac:dyDescent="0.2">
      <c r="A3" t="s">
        <v>1650</v>
      </c>
      <c r="B3" t="s">
        <v>304</v>
      </c>
      <c r="C3" t="s">
        <v>1387</v>
      </c>
      <c r="D3" t="s">
        <v>304</v>
      </c>
      <c r="E3" t="s">
        <v>123</v>
      </c>
      <c r="F3" t="s">
        <v>29</v>
      </c>
      <c r="G3" t="s">
        <v>126</v>
      </c>
      <c r="P3" t="s">
        <v>1904</v>
      </c>
      <c r="Q3" t="s">
        <v>1314</v>
      </c>
      <c r="R3" t="s">
        <v>1867</v>
      </c>
      <c r="S3" t="s">
        <v>97</v>
      </c>
      <c r="T3" t="s">
        <v>1905</v>
      </c>
      <c r="U3" t="s">
        <v>1903</v>
      </c>
    </row>
    <row r="4" spans="1:21" x14ac:dyDescent="0.2">
      <c r="A4" t="s">
        <v>1237</v>
      </c>
      <c r="B4" t="s">
        <v>271</v>
      </c>
      <c r="C4" t="s">
        <v>1180</v>
      </c>
      <c r="D4" t="s">
        <v>271</v>
      </c>
      <c r="E4" t="s">
        <v>81</v>
      </c>
      <c r="F4" t="s">
        <v>160</v>
      </c>
      <c r="G4" t="s">
        <v>126</v>
      </c>
      <c r="P4" t="s">
        <v>1906</v>
      </c>
      <c r="Q4" t="s">
        <v>1907</v>
      </c>
      <c r="R4" t="s">
        <v>1831</v>
      </c>
      <c r="S4" t="s">
        <v>1585</v>
      </c>
      <c r="T4" t="s">
        <v>1908</v>
      </c>
      <c r="U4" t="s">
        <v>1908</v>
      </c>
    </row>
    <row r="5" spans="1:21" x14ac:dyDescent="0.2">
      <c r="A5" t="s">
        <v>448</v>
      </c>
      <c r="B5" t="s">
        <v>392</v>
      </c>
      <c r="C5" t="s">
        <v>394</v>
      </c>
      <c r="D5" t="s">
        <v>30</v>
      </c>
      <c r="E5" t="s">
        <v>81</v>
      </c>
      <c r="F5" t="s">
        <v>160</v>
      </c>
      <c r="G5" t="s">
        <v>126</v>
      </c>
      <c r="P5" t="s">
        <v>1909</v>
      </c>
      <c r="Q5" t="s">
        <v>1790</v>
      </c>
      <c r="R5" t="s">
        <v>1903</v>
      </c>
      <c r="S5" t="s">
        <v>1903</v>
      </c>
      <c r="T5" t="s">
        <v>1790</v>
      </c>
      <c r="U5" t="s">
        <v>1903</v>
      </c>
    </row>
    <row r="6" spans="1:21" x14ac:dyDescent="0.2">
      <c r="A6" t="s">
        <v>453</v>
      </c>
      <c r="B6" t="s">
        <v>397</v>
      </c>
      <c r="C6" t="s">
        <v>399</v>
      </c>
      <c r="D6" t="s">
        <v>47</v>
      </c>
      <c r="E6" t="s">
        <v>81</v>
      </c>
      <c r="F6" t="s">
        <v>160</v>
      </c>
      <c r="G6" t="s">
        <v>126</v>
      </c>
      <c r="P6" t="s">
        <v>1910</v>
      </c>
      <c r="Q6" t="s">
        <v>1739</v>
      </c>
      <c r="R6" t="s">
        <v>1911</v>
      </c>
      <c r="S6" t="s">
        <v>1831</v>
      </c>
      <c r="T6" t="s">
        <v>1903</v>
      </c>
      <c r="U6" t="s">
        <v>1903</v>
      </c>
    </row>
    <row r="7" spans="1:21" x14ac:dyDescent="0.2">
      <c r="A7" t="s">
        <v>653</v>
      </c>
      <c r="B7" t="s">
        <v>599</v>
      </c>
      <c r="C7" t="s">
        <v>601</v>
      </c>
      <c r="D7" t="s">
        <v>47</v>
      </c>
      <c r="E7" t="s">
        <v>81</v>
      </c>
      <c r="F7" t="s">
        <v>160</v>
      </c>
      <c r="G7" t="s">
        <v>126</v>
      </c>
      <c r="P7" t="s">
        <v>1912</v>
      </c>
      <c r="Q7" t="s">
        <v>1585</v>
      </c>
      <c r="R7" t="s">
        <v>1903</v>
      </c>
      <c r="S7" t="s">
        <v>1867</v>
      </c>
      <c r="T7" t="s">
        <v>1831</v>
      </c>
      <c r="U7" t="s">
        <v>1903</v>
      </c>
    </row>
    <row r="8" spans="1:21" x14ac:dyDescent="0.2">
      <c r="A8" t="s">
        <v>982</v>
      </c>
      <c r="B8" t="s">
        <v>928</v>
      </c>
      <c r="C8" t="s">
        <v>930</v>
      </c>
      <c r="D8" t="s">
        <v>47</v>
      </c>
      <c r="E8" t="s">
        <v>123</v>
      </c>
      <c r="F8" t="s">
        <v>29</v>
      </c>
      <c r="G8" t="s">
        <v>126</v>
      </c>
      <c r="P8" t="s">
        <v>1913</v>
      </c>
      <c r="Q8" t="s">
        <v>1722</v>
      </c>
      <c r="R8" t="s">
        <v>1908</v>
      </c>
      <c r="S8" t="s">
        <v>1867</v>
      </c>
      <c r="T8" t="s">
        <v>1911</v>
      </c>
      <c r="U8" t="s">
        <v>1903</v>
      </c>
    </row>
    <row r="9" spans="1:21" x14ac:dyDescent="0.2">
      <c r="A9" t="s">
        <v>648</v>
      </c>
      <c r="B9" t="s">
        <v>594</v>
      </c>
      <c r="C9" t="s">
        <v>596</v>
      </c>
      <c r="D9" t="s">
        <v>298</v>
      </c>
      <c r="E9" t="s">
        <v>123</v>
      </c>
      <c r="F9" t="s">
        <v>160</v>
      </c>
      <c r="G9" t="s">
        <v>126</v>
      </c>
      <c r="P9" t="s">
        <v>1914</v>
      </c>
      <c r="Q9" t="s">
        <v>1831</v>
      </c>
      <c r="R9" t="s">
        <v>1903</v>
      </c>
      <c r="S9" t="s">
        <v>1867</v>
      </c>
      <c r="T9" t="s">
        <v>1903</v>
      </c>
      <c r="U9" t="s">
        <v>1911</v>
      </c>
    </row>
    <row r="10" spans="1:21" x14ac:dyDescent="0.2">
      <c r="A10" t="s">
        <v>1055</v>
      </c>
      <c r="B10" t="s">
        <v>1001</v>
      </c>
      <c r="C10" t="s">
        <v>1003</v>
      </c>
      <c r="D10" t="s">
        <v>417</v>
      </c>
      <c r="E10" t="s">
        <v>81</v>
      </c>
      <c r="F10" t="s">
        <v>160</v>
      </c>
      <c r="G10" t="s">
        <v>126</v>
      </c>
      <c r="P10" t="s">
        <v>1915</v>
      </c>
      <c r="Q10" t="s">
        <v>1911</v>
      </c>
      <c r="R10" t="s">
        <v>1908</v>
      </c>
      <c r="S10" t="s">
        <v>1903</v>
      </c>
      <c r="T10" t="s">
        <v>1903</v>
      </c>
      <c r="U10" t="s">
        <v>1867</v>
      </c>
    </row>
    <row r="11" spans="1:21" x14ac:dyDescent="0.2">
      <c r="A11" t="s">
        <v>1010</v>
      </c>
      <c r="B11" t="s">
        <v>953</v>
      </c>
      <c r="C11" t="s">
        <v>955</v>
      </c>
      <c r="D11" t="s">
        <v>171</v>
      </c>
      <c r="E11" t="s">
        <v>81</v>
      </c>
      <c r="F11" t="s">
        <v>160</v>
      </c>
      <c r="G11" t="s">
        <v>126</v>
      </c>
      <c r="P11" t="s">
        <v>1916</v>
      </c>
      <c r="Q11" t="s">
        <v>1911</v>
      </c>
      <c r="R11" t="s">
        <v>1903</v>
      </c>
      <c r="S11" t="s">
        <v>1903</v>
      </c>
      <c r="T11" t="s">
        <v>1911</v>
      </c>
      <c r="U11" t="s">
        <v>1903</v>
      </c>
    </row>
    <row r="12" spans="1:21" x14ac:dyDescent="0.2">
      <c r="A12" t="s">
        <v>718</v>
      </c>
      <c r="B12" t="s">
        <v>664</v>
      </c>
      <c r="C12" t="s">
        <v>666</v>
      </c>
      <c r="D12" t="s">
        <v>271</v>
      </c>
      <c r="E12" t="s">
        <v>123</v>
      </c>
      <c r="F12" t="s">
        <v>29</v>
      </c>
      <c r="G12" t="s">
        <v>126</v>
      </c>
      <c r="P12" t="s">
        <v>1917</v>
      </c>
      <c r="Q12" t="s">
        <v>1908</v>
      </c>
      <c r="R12" t="s">
        <v>1903</v>
      </c>
      <c r="S12" t="s">
        <v>1903</v>
      </c>
      <c r="T12" t="s">
        <v>1908</v>
      </c>
      <c r="U12" t="s">
        <v>1903</v>
      </c>
    </row>
    <row r="13" spans="1:21" x14ac:dyDescent="0.2">
      <c r="A13" t="s">
        <v>1117</v>
      </c>
      <c r="B13" t="s">
        <v>1061</v>
      </c>
      <c r="C13" t="s">
        <v>1063</v>
      </c>
      <c r="D13" t="s">
        <v>298</v>
      </c>
      <c r="E13" t="s">
        <v>81</v>
      </c>
      <c r="F13" t="s">
        <v>160</v>
      </c>
      <c r="G13" t="s">
        <v>126</v>
      </c>
      <c r="P13" t="s">
        <v>1918</v>
      </c>
      <c r="Q13" t="s">
        <v>1908</v>
      </c>
      <c r="R13" t="s">
        <v>1903</v>
      </c>
      <c r="S13" t="s">
        <v>1908</v>
      </c>
      <c r="T13" t="s">
        <v>1903</v>
      </c>
      <c r="U13" t="s">
        <v>1903</v>
      </c>
    </row>
    <row r="14" spans="1:21" x14ac:dyDescent="0.2">
      <c r="A14" t="s">
        <v>167</v>
      </c>
      <c r="B14" t="s">
        <v>112</v>
      </c>
      <c r="C14" t="s">
        <v>114</v>
      </c>
      <c r="D14" t="s">
        <v>171</v>
      </c>
      <c r="E14" t="s">
        <v>123</v>
      </c>
      <c r="F14" t="s">
        <v>29</v>
      </c>
      <c r="G14" t="s">
        <v>126</v>
      </c>
      <c r="P14" t="s">
        <v>1919</v>
      </c>
      <c r="Q14" t="s">
        <v>1908</v>
      </c>
      <c r="R14" t="s">
        <v>1903</v>
      </c>
      <c r="S14" t="s">
        <v>1903</v>
      </c>
      <c r="T14" t="s">
        <v>1903</v>
      </c>
      <c r="U14" t="s">
        <v>1908</v>
      </c>
    </row>
    <row r="15" spans="1:21" x14ac:dyDescent="0.2">
      <c r="A15" t="s">
        <v>369</v>
      </c>
      <c r="B15" t="s">
        <v>315</v>
      </c>
      <c r="C15" t="s">
        <v>317</v>
      </c>
      <c r="D15" t="s">
        <v>171</v>
      </c>
      <c r="E15" t="s">
        <v>123</v>
      </c>
      <c r="F15" t="s">
        <v>160</v>
      </c>
      <c r="G15" t="s">
        <v>126</v>
      </c>
      <c r="P15" t="s">
        <v>1920</v>
      </c>
      <c r="Q15" t="s">
        <v>1908</v>
      </c>
      <c r="R15" t="s">
        <v>1903</v>
      </c>
      <c r="S15" t="s">
        <v>1903</v>
      </c>
      <c r="T15" t="s">
        <v>1908</v>
      </c>
      <c r="U15" t="s">
        <v>1903</v>
      </c>
    </row>
    <row r="16" spans="1:21" x14ac:dyDescent="0.2">
      <c r="A16" t="s">
        <v>438</v>
      </c>
      <c r="B16" t="s">
        <v>381</v>
      </c>
      <c r="C16" t="s">
        <v>383</v>
      </c>
      <c r="D16" t="s">
        <v>30</v>
      </c>
      <c r="E16" t="s">
        <v>81</v>
      </c>
      <c r="F16" t="s">
        <v>160</v>
      </c>
      <c r="G16" t="s">
        <v>126</v>
      </c>
    </row>
    <row r="17" spans="1:7" x14ac:dyDescent="0.2">
      <c r="A17" t="s">
        <v>270</v>
      </c>
      <c r="B17" t="s">
        <v>214</v>
      </c>
      <c r="C17" t="s">
        <v>216</v>
      </c>
      <c r="D17" t="s">
        <v>271</v>
      </c>
      <c r="E17" t="s">
        <v>81</v>
      </c>
      <c r="F17" t="s">
        <v>160</v>
      </c>
      <c r="G17" t="s">
        <v>126</v>
      </c>
    </row>
    <row r="18" spans="1:7" x14ac:dyDescent="0.2">
      <c r="A18" t="s">
        <v>1182</v>
      </c>
      <c r="B18" t="s">
        <v>1128</v>
      </c>
      <c r="C18" t="s">
        <v>1130</v>
      </c>
      <c r="D18" t="s">
        <v>417</v>
      </c>
      <c r="E18" t="s">
        <v>81</v>
      </c>
      <c r="F18" t="s">
        <v>160</v>
      </c>
      <c r="G18" t="s">
        <v>126</v>
      </c>
    </row>
    <row r="19" spans="1:7" x14ac:dyDescent="0.2">
      <c r="A19" t="s">
        <v>416</v>
      </c>
      <c r="B19" t="s">
        <v>360</v>
      </c>
      <c r="C19" t="s">
        <v>362</v>
      </c>
      <c r="D19" t="s">
        <v>417</v>
      </c>
      <c r="E19" t="s">
        <v>81</v>
      </c>
      <c r="F19" t="s">
        <v>160</v>
      </c>
      <c r="G19" t="s">
        <v>126</v>
      </c>
    </row>
    <row r="20" spans="1:7" x14ac:dyDescent="0.2">
      <c r="A20" t="s">
        <v>205</v>
      </c>
      <c r="B20" t="s">
        <v>137</v>
      </c>
      <c r="C20" t="s">
        <v>139</v>
      </c>
      <c r="D20" t="s">
        <v>207</v>
      </c>
      <c r="E20" t="s">
        <v>81</v>
      </c>
      <c r="F20" t="s">
        <v>160</v>
      </c>
      <c r="G20" t="s">
        <v>126</v>
      </c>
    </row>
    <row r="21" spans="1:7" x14ac:dyDescent="0.2">
      <c r="A21" t="s">
        <v>1867</v>
      </c>
      <c r="B21" t="s">
        <v>1564</v>
      </c>
      <c r="C21" t="s">
        <v>1566</v>
      </c>
      <c r="D21" t="s">
        <v>47</v>
      </c>
      <c r="E21" t="s">
        <v>81</v>
      </c>
      <c r="F21" t="s">
        <v>29</v>
      </c>
      <c r="G21" t="s">
        <v>83</v>
      </c>
    </row>
    <row r="22" spans="1:7" x14ac:dyDescent="0.2">
      <c r="A22" t="s">
        <v>1722</v>
      </c>
      <c r="B22" t="s">
        <v>184</v>
      </c>
      <c r="C22" t="s">
        <v>1451</v>
      </c>
      <c r="D22" t="s">
        <v>184</v>
      </c>
      <c r="E22" t="s">
        <v>28</v>
      </c>
      <c r="F22" t="s">
        <v>160</v>
      </c>
      <c r="G22" t="s">
        <v>83</v>
      </c>
    </row>
    <row r="23" spans="1:7" x14ac:dyDescent="0.2">
      <c r="A23" t="s">
        <v>1875</v>
      </c>
      <c r="B23" t="s">
        <v>1568</v>
      </c>
      <c r="C23" t="s">
        <v>1570</v>
      </c>
      <c r="D23" t="s">
        <v>47</v>
      </c>
      <c r="E23" t="s">
        <v>81</v>
      </c>
      <c r="F23" t="s">
        <v>29</v>
      </c>
      <c r="G23" t="s">
        <v>83</v>
      </c>
    </row>
    <row r="24" spans="1:7" x14ac:dyDescent="0.2">
      <c r="A24" t="s">
        <v>1624</v>
      </c>
      <c r="B24" t="s">
        <v>298</v>
      </c>
      <c r="C24" t="s">
        <v>1367</v>
      </c>
      <c r="D24" t="s">
        <v>298</v>
      </c>
      <c r="E24" t="s">
        <v>81</v>
      </c>
      <c r="F24" t="s">
        <v>29</v>
      </c>
      <c r="G24" t="s">
        <v>83</v>
      </c>
    </row>
    <row r="25" spans="1:7" x14ac:dyDescent="0.2">
      <c r="A25" t="s">
        <v>1704</v>
      </c>
      <c r="B25" t="s">
        <v>171</v>
      </c>
      <c r="C25" t="s">
        <v>1432</v>
      </c>
      <c r="D25" t="s">
        <v>171</v>
      </c>
      <c r="E25" t="s">
        <v>81</v>
      </c>
      <c r="F25" t="s">
        <v>29</v>
      </c>
      <c r="G25" t="s">
        <v>83</v>
      </c>
    </row>
    <row r="26" spans="1:7" x14ac:dyDescent="0.2">
      <c r="A26" t="s">
        <v>1428</v>
      </c>
      <c r="B26" t="s">
        <v>1256</v>
      </c>
      <c r="C26" t="s">
        <v>1258</v>
      </c>
      <c r="D26" t="s">
        <v>1256</v>
      </c>
      <c r="E26" t="s">
        <v>28</v>
      </c>
      <c r="F26" t="s">
        <v>160</v>
      </c>
      <c r="G26" t="s">
        <v>83</v>
      </c>
    </row>
    <row r="27" spans="1:7" x14ac:dyDescent="0.2">
      <c r="A27" t="s">
        <v>1248</v>
      </c>
      <c r="B27" t="s">
        <v>1183</v>
      </c>
      <c r="C27" t="s">
        <v>1185</v>
      </c>
      <c r="D27" t="s">
        <v>1183</v>
      </c>
      <c r="E27" t="s">
        <v>28</v>
      </c>
      <c r="F27" t="s">
        <v>160</v>
      </c>
      <c r="G27" t="s">
        <v>83</v>
      </c>
    </row>
    <row r="28" spans="1:7" x14ac:dyDescent="0.2">
      <c r="A28" t="s">
        <v>309</v>
      </c>
      <c r="B28" t="s">
        <v>252</v>
      </c>
      <c r="C28" t="s">
        <v>254</v>
      </c>
      <c r="D28" t="s">
        <v>171</v>
      </c>
      <c r="E28" t="s">
        <v>81</v>
      </c>
      <c r="F28" t="s">
        <v>29</v>
      </c>
      <c r="G28" t="s">
        <v>83</v>
      </c>
    </row>
    <row r="29" spans="1:7" x14ac:dyDescent="0.2">
      <c r="A29" t="s">
        <v>836</v>
      </c>
      <c r="B29" t="s">
        <v>782</v>
      </c>
      <c r="C29" t="s">
        <v>784</v>
      </c>
      <c r="D29" t="s">
        <v>30</v>
      </c>
      <c r="E29" t="s">
        <v>81</v>
      </c>
      <c r="F29" t="s">
        <v>29</v>
      </c>
      <c r="G29" t="s">
        <v>83</v>
      </c>
    </row>
    <row r="30" spans="1:7" x14ac:dyDescent="0.2">
      <c r="A30" t="s">
        <v>213</v>
      </c>
      <c r="B30" t="s">
        <v>142</v>
      </c>
      <c r="C30" t="s">
        <v>144</v>
      </c>
      <c r="D30" t="s">
        <v>30</v>
      </c>
      <c r="E30" t="s">
        <v>81</v>
      </c>
      <c r="F30" t="s">
        <v>29</v>
      </c>
      <c r="G30" t="s">
        <v>83</v>
      </c>
    </row>
    <row r="31" spans="1:7" x14ac:dyDescent="0.2">
      <c r="A31" t="s">
        <v>987</v>
      </c>
      <c r="B31" t="s">
        <v>933</v>
      </c>
      <c r="C31" t="s">
        <v>935</v>
      </c>
      <c r="D31" t="s">
        <v>989</v>
      </c>
      <c r="E31" t="s">
        <v>123</v>
      </c>
      <c r="F31" t="s">
        <v>234</v>
      </c>
      <c r="G31" t="s">
        <v>83</v>
      </c>
    </row>
    <row r="32" spans="1:7" x14ac:dyDescent="0.2">
      <c r="A32" t="s">
        <v>1127</v>
      </c>
      <c r="B32" t="s">
        <v>1072</v>
      </c>
      <c r="C32" t="s">
        <v>1074</v>
      </c>
      <c r="D32" t="s">
        <v>47</v>
      </c>
      <c r="E32" t="s">
        <v>81</v>
      </c>
      <c r="F32" t="s">
        <v>29</v>
      </c>
      <c r="G32" t="s">
        <v>83</v>
      </c>
    </row>
    <row r="33" spans="1:7" x14ac:dyDescent="0.2">
      <c r="A33" t="s">
        <v>78</v>
      </c>
      <c r="B33" t="s">
        <v>59</v>
      </c>
      <c r="C33" t="s">
        <v>61</v>
      </c>
      <c r="D33" t="s">
        <v>47</v>
      </c>
      <c r="E33" t="s">
        <v>81</v>
      </c>
      <c r="F33" t="s">
        <v>29</v>
      </c>
      <c r="G33" t="s">
        <v>83</v>
      </c>
    </row>
    <row r="34" spans="1:7" x14ac:dyDescent="0.2">
      <c r="A34" t="s">
        <v>1106</v>
      </c>
      <c r="B34" t="s">
        <v>1051</v>
      </c>
      <c r="C34" t="s">
        <v>1053</v>
      </c>
      <c r="D34" t="s">
        <v>47</v>
      </c>
      <c r="E34" t="s">
        <v>81</v>
      </c>
      <c r="F34" t="s">
        <v>29</v>
      </c>
      <c r="G34" t="s">
        <v>83</v>
      </c>
    </row>
    <row r="35" spans="1:7" x14ac:dyDescent="0.2">
      <c r="A35" t="s">
        <v>623</v>
      </c>
      <c r="B35" t="s">
        <v>569</v>
      </c>
      <c r="C35" t="s">
        <v>571</v>
      </c>
      <c r="D35" t="s">
        <v>30</v>
      </c>
      <c r="E35" t="s">
        <v>28</v>
      </c>
      <c r="F35" t="s">
        <v>160</v>
      </c>
      <c r="G35" t="s">
        <v>83</v>
      </c>
    </row>
    <row r="36" spans="1:7" x14ac:dyDescent="0.2">
      <c r="A36" t="s">
        <v>334</v>
      </c>
      <c r="B36" t="s">
        <v>277</v>
      </c>
      <c r="C36" t="s">
        <v>279</v>
      </c>
      <c r="D36" t="s">
        <v>47</v>
      </c>
      <c r="E36" t="s">
        <v>81</v>
      </c>
      <c r="F36" t="s">
        <v>29</v>
      </c>
      <c r="G36" t="s">
        <v>83</v>
      </c>
    </row>
    <row r="37" spans="1:7" x14ac:dyDescent="0.2">
      <c r="A37" t="s">
        <v>1452</v>
      </c>
      <c r="B37" t="s">
        <v>1266</v>
      </c>
      <c r="C37" t="s">
        <v>1268</v>
      </c>
      <c r="D37" t="s">
        <v>184</v>
      </c>
      <c r="E37" t="s">
        <v>28</v>
      </c>
      <c r="F37" t="s">
        <v>160</v>
      </c>
      <c r="G37" t="s">
        <v>83</v>
      </c>
    </row>
    <row r="38" spans="1:7" x14ac:dyDescent="0.2">
      <c r="A38" t="s">
        <v>428</v>
      </c>
      <c r="B38" t="s">
        <v>371</v>
      </c>
      <c r="C38" t="s">
        <v>373</v>
      </c>
      <c r="D38" t="s">
        <v>47</v>
      </c>
      <c r="E38" t="s">
        <v>81</v>
      </c>
      <c r="F38" t="s">
        <v>29</v>
      </c>
      <c r="G38" t="s">
        <v>83</v>
      </c>
    </row>
    <row r="39" spans="1:7" x14ac:dyDescent="0.2">
      <c r="A39" t="s">
        <v>1025</v>
      </c>
      <c r="B39" t="s">
        <v>968</v>
      </c>
      <c r="C39" t="s">
        <v>970</v>
      </c>
      <c r="D39" t="s">
        <v>47</v>
      </c>
      <c r="E39" t="s">
        <v>81</v>
      </c>
      <c r="F39" t="s">
        <v>29</v>
      </c>
      <c r="G39" t="s">
        <v>83</v>
      </c>
    </row>
    <row r="40" spans="1:7" x14ac:dyDescent="0.2">
      <c r="A40" t="s">
        <v>552</v>
      </c>
      <c r="B40" t="s">
        <v>498</v>
      </c>
      <c r="C40" t="s">
        <v>500</v>
      </c>
      <c r="D40" t="s">
        <v>47</v>
      </c>
      <c r="E40" t="s">
        <v>81</v>
      </c>
      <c r="F40" t="s">
        <v>29</v>
      </c>
      <c r="G40" t="s">
        <v>83</v>
      </c>
    </row>
    <row r="41" spans="1:7" x14ac:dyDescent="0.2">
      <c r="A41" t="s">
        <v>497</v>
      </c>
      <c r="B41" t="s">
        <v>444</v>
      </c>
      <c r="C41" t="s">
        <v>446</v>
      </c>
      <c r="D41" t="s">
        <v>47</v>
      </c>
      <c r="E41" t="s">
        <v>81</v>
      </c>
      <c r="F41" t="s">
        <v>29</v>
      </c>
      <c r="G41" t="s">
        <v>83</v>
      </c>
    </row>
    <row r="42" spans="1:7" x14ac:dyDescent="0.2">
      <c r="A42" t="s">
        <v>245</v>
      </c>
      <c r="B42" t="s">
        <v>185</v>
      </c>
      <c r="C42" t="s">
        <v>187</v>
      </c>
      <c r="D42" t="s">
        <v>195</v>
      </c>
      <c r="E42" t="s">
        <v>28</v>
      </c>
      <c r="F42" t="s">
        <v>160</v>
      </c>
      <c r="G42" t="s">
        <v>83</v>
      </c>
    </row>
    <row r="43" spans="1:7" x14ac:dyDescent="0.2">
      <c r="A43" t="s">
        <v>1086</v>
      </c>
      <c r="B43" t="s">
        <v>1031</v>
      </c>
      <c r="C43" t="s">
        <v>1033</v>
      </c>
      <c r="D43" t="s">
        <v>184</v>
      </c>
      <c r="E43" t="s">
        <v>28</v>
      </c>
      <c r="F43" t="s">
        <v>160</v>
      </c>
      <c r="G43" t="s">
        <v>83</v>
      </c>
    </row>
    <row r="44" spans="1:7" x14ac:dyDescent="0.2">
      <c r="A44" t="s">
        <v>180</v>
      </c>
      <c r="B44" t="s">
        <v>117</v>
      </c>
      <c r="C44" t="s">
        <v>119</v>
      </c>
      <c r="D44" t="s">
        <v>184</v>
      </c>
      <c r="E44" t="s">
        <v>28</v>
      </c>
      <c r="F44" t="s">
        <v>160</v>
      </c>
      <c r="G44" t="s">
        <v>83</v>
      </c>
    </row>
    <row r="45" spans="1:7" x14ac:dyDescent="0.2">
      <c r="A45" t="s">
        <v>542</v>
      </c>
      <c r="B45" t="s">
        <v>488</v>
      </c>
      <c r="C45" t="s">
        <v>490</v>
      </c>
      <c r="D45" t="s">
        <v>298</v>
      </c>
      <c r="E45" t="s">
        <v>81</v>
      </c>
      <c r="F45" t="s">
        <v>29</v>
      </c>
      <c r="G45" t="s">
        <v>83</v>
      </c>
    </row>
    <row r="46" spans="1:7" x14ac:dyDescent="0.2">
      <c r="A46" t="s">
        <v>467</v>
      </c>
      <c r="B46" t="s">
        <v>412</v>
      </c>
      <c r="C46" t="s">
        <v>414</v>
      </c>
      <c r="D46" t="s">
        <v>47</v>
      </c>
      <c r="E46" t="s">
        <v>81</v>
      </c>
      <c r="F46" t="s">
        <v>29</v>
      </c>
      <c r="G46" t="s">
        <v>83</v>
      </c>
    </row>
    <row r="47" spans="1:7" x14ac:dyDescent="0.2">
      <c r="A47" t="s">
        <v>547</v>
      </c>
      <c r="B47" t="s">
        <v>493</v>
      </c>
      <c r="C47" t="s">
        <v>495</v>
      </c>
      <c r="D47" t="s">
        <v>171</v>
      </c>
      <c r="E47" t="s">
        <v>81</v>
      </c>
      <c r="F47" t="s">
        <v>29</v>
      </c>
      <c r="G47" t="s">
        <v>83</v>
      </c>
    </row>
    <row r="48" spans="1:7" x14ac:dyDescent="0.2">
      <c r="A48" t="s">
        <v>796</v>
      </c>
      <c r="B48" t="s">
        <v>741</v>
      </c>
      <c r="C48" t="s">
        <v>743</v>
      </c>
      <c r="D48" t="s">
        <v>161</v>
      </c>
      <c r="E48" t="s">
        <v>28</v>
      </c>
      <c r="F48" t="s">
        <v>160</v>
      </c>
      <c r="G48" t="s">
        <v>83</v>
      </c>
    </row>
    <row r="49" spans="1:7" x14ac:dyDescent="0.2">
      <c r="A49" t="s">
        <v>1197</v>
      </c>
      <c r="B49" t="s">
        <v>1143</v>
      </c>
      <c r="C49" t="s">
        <v>1145</v>
      </c>
      <c r="D49" t="s">
        <v>171</v>
      </c>
      <c r="E49" t="s">
        <v>81</v>
      </c>
      <c r="F49" t="s">
        <v>29</v>
      </c>
      <c r="G49" t="s">
        <v>83</v>
      </c>
    </row>
    <row r="50" spans="1:7" x14ac:dyDescent="0.2">
      <c r="A50" t="s">
        <v>1192</v>
      </c>
      <c r="B50" t="s">
        <v>1138</v>
      </c>
      <c r="C50" t="s">
        <v>1140</v>
      </c>
      <c r="D50" t="s">
        <v>30</v>
      </c>
      <c r="E50" t="s">
        <v>28</v>
      </c>
      <c r="F50" t="s">
        <v>160</v>
      </c>
      <c r="G50" t="s">
        <v>83</v>
      </c>
    </row>
    <row r="51" spans="1:7" x14ac:dyDescent="0.2">
      <c r="A51" t="s">
        <v>1187</v>
      </c>
      <c r="B51" t="s">
        <v>1133</v>
      </c>
      <c r="C51" t="s">
        <v>1135</v>
      </c>
      <c r="D51" t="s">
        <v>124</v>
      </c>
      <c r="E51" t="s">
        <v>28</v>
      </c>
      <c r="F51" t="s">
        <v>160</v>
      </c>
      <c r="G51" t="s">
        <v>83</v>
      </c>
    </row>
    <row r="52" spans="1:7" x14ac:dyDescent="0.2">
      <c r="A52" t="s">
        <v>1167</v>
      </c>
      <c r="B52" t="s">
        <v>1113</v>
      </c>
      <c r="C52" t="s">
        <v>1115</v>
      </c>
      <c r="D52" t="s">
        <v>1168</v>
      </c>
      <c r="E52" t="s">
        <v>28</v>
      </c>
      <c r="F52" t="s">
        <v>160</v>
      </c>
      <c r="G52" t="s">
        <v>83</v>
      </c>
    </row>
    <row r="53" spans="1:7" x14ac:dyDescent="0.2">
      <c r="A53" t="s">
        <v>679</v>
      </c>
      <c r="B53" t="s">
        <v>624</v>
      </c>
      <c r="C53" t="s">
        <v>626</v>
      </c>
      <c r="D53" t="s">
        <v>47</v>
      </c>
      <c r="E53" t="s">
        <v>81</v>
      </c>
      <c r="F53" t="s">
        <v>29</v>
      </c>
      <c r="G53" t="s">
        <v>83</v>
      </c>
    </row>
    <row r="54" spans="1:7" x14ac:dyDescent="0.2">
      <c r="A54" t="s">
        <v>193</v>
      </c>
      <c r="B54" t="s">
        <v>127</v>
      </c>
      <c r="C54" t="s">
        <v>129</v>
      </c>
      <c r="D54" t="s">
        <v>195</v>
      </c>
      <c r="E54" t="s">
        <v>28</v>
      </c>
      <c r="F54" t="s">
        <v>160</v>
      </c>
      <c r="G54" t="s">
        <v>83</v>
      </c>
    </row>
    <row r="55" spans="1:7" x14ac:dyDescent="0.2">
      <c r="A55" t="s">
        <v>1567</v>
      </c>
      <c r="B55" t="s">
        <v>1321</v>
      </c>
      <c r="C55" t="s">
        <v>1323</v>
      </c>
      <c r="D55" t="s">
        <v>298</v>
      </c>
      <c r="E55" t="s">
        <v>81</v>
      </c>
      <c r="F55" t="s">
        <v>29</v>
      </c>
      <c r="G55" t="s">
        <v>83</v>
      </c>
    </row>
    <row r="56" spans="1:7" x14ac:dyDescent="0.2">
      <c r="A56" t="s">
        <v>158</v>
      </c>
      <c r="B56" t="s">
        <v>107</v>
      </c>
      <c r="C56" t="s">
        <v>109</v>
      </c>
      <c r="D56" t="s">
        <v>161</v>
      </c>
      <c r="E56" t="s">
        <v>28</v>
      </c>
      <c r="F56" t="s">
        <v>160</v>
      </c>
      <c r="G56" t="s">
        <v>83</v>
      </c>
    </row>
    <row r="57" spans="1:7" x14ac:dyDescent="0.2">
      <c r="A57" t="s">
        <v>115</v>
      </c>
      <c r="B57" t="s">
        <v>70</v>
      </c>
      <c r="C57" t="s">
        <v>72</v>
      </c>
      <c r="D57" t="s">
        <v>47</v>
      </c>
      <c r="E57" t="s">
        <v>28</v>
      </c>
      <c r="F57" t="s">
        <v>29</v>
      </c>
      <c r="G57" t="s">
        <v>33</v>
      </c>
    </row>
    <row r="58" spans="1:7" x14ac:dyDescent="0.2">
      <c r="A58" t="s">
        <v>97</v>
      </c>
      <c r="B58" t="s">
        <v>65</v>
      </c>
      <c r="C58" t="s">
        <v>101</v>
      </c>
      <c r="D58" t="s">
        <v>47</v>
      </c>
      <c r="E58" t="s">
        <v>28</v>
      </c>
      <c r="F58" t="s">
        <v>29</v>
      </c>
      <c r="G58" t="s">
        <v>33</v>
      </c>
    </row>
    <row r="59" spans="1:7" x14ac:dyDescent="0.2">
      <c r="A59" t="s">
        <v>1739</v>
      </c>
      <c r="B59" t="s">
        <v>1459</v>
      </c>
      <c r="C59" t="s">
        <v>1461</v>
      </c>
      <c r="D59" t="s">
        <v>30</v>
      </c>
      <c r="E59" t="s">
        <v>28</v>
      </c>
      <c r="F59" t="s">
        <v>29</v>
      </c>
      <c r="G59" t="s">
        <v>33</v>
      </c>
    </row>
    <row r="60" spans="1:7" x14ac:dyDescent="0.2">
      <c r="A60" t="s">
        <v>1291</v>
      </c>
      <c r="B60" t="s">
        <v>1203</v>
      </c>
      <c r="C60" t="s">
        <v>1205</v>
      </c>
      <c r="D60" t="s">
        <v>47</v>
      </c>
      <c r="E60" t="s">
        <v>28</v>
      </c>
      <c r="F60" t="s">
        <v>29</v>
      </c>
      <c r="G60" t="s">
        <v>33</v>
      </c>
    </row>
    <row r="61" spans="1:7" x14ac:dyDescent="0.2">
      <c r="A61" t="s">
        <v>1374</v>
      </c>
      <c r="B61" t="s">
        <v>1229</v>
      </c>
      <c r="C61" t="s">
        <v>1231</v>
      </c>
      <c r="D61" t="s">
        <v>161</v>
      </c>
      <c r="E61" t="s">
        <v>28</v>
      </c>
      <c r="F61" t="s">
        <v>29</v>
      </c>
      <c r="G61" t="s">
        <v>33</v>
      </c>
    </row>
    <row r="62" spans="1:7" x14ac:dyDescent="0.2">
      <c r="A62" t="s">
        <v>1763</v>
      </c>
      <c r="B62" t="s">
        <v>1481</v>
      </c>
      <c r="C62" t="s">
        <v>1483</v>
      </c>
      <c r="D62" t="s">
        <v>30</v>
      </c>
      <c r="E62" t="s">
        <v>28</v>
      </c>
      <c r="F62" t="s">
        <v>29</v>
      </c>
      <c r="G62" t="s">
        <v>33</v>
      </c>
    </row>
    <row r="63" spans="1:7" x14ac:dyDescent="0.2">
      <c r="A63" t="s">
        <v>1790</v>
      </c>
      <c r="B63" t="s">
        <v>1502</v>
      </c>
      <c r="C63" t="s">
        <v>1504</v>
      </c>
      <c r="D63" t="s">
        <v>47</v>
      </c>
      <c r="E63" t="s">
        <v>28</v>
      </c>
      <c r="F63" t="s">
        <v>29</v>
      </c>
      <c r="G63" t="s">
        <v>33</v>
      </c>
    </row>
    <row r="64" spans="1:7" x14ac:dyDescent="0.2">
      <c r="A64" t="s">
        <v>1644</v>
      </c>
      <c r="B64" t="s">
        <v>1382</v>
      </c>
      <c r="C64" t="s">
        <v>1384</v>
      </c>
      <c r="D64" t="s">
        <v>47</v>
      </c>
      <c r="E64" t="s">
        <v>28</v>
      </c>
      <c r="F64" t="s">
        <v>29</v>
      </c>
      <c r="G64" t="s">
        <v>33</v>
      </c>
    </row>
    <row r="65" spans="1:7" x14ac:dyDescent="0.2">
      <c r="A65" t="s">
        <v>1660</v>
      </c>
      <c r="B65" t="s">
        <v>1398</v>
      </c>
      <c r="C65" t="s">
        <v>1400</v>
      </c>
      <c r="D65" t="s">
        <v>47</v>
      </c>
      <c r="E65" t="s">
        <v>81</v>
      </c>
      <c r="F65" t="s">
        <v>234</v>
      </c>
      <c r="G65" t="s">
        <v>33</v>
      </c>
    </row>
    <row r="66" spans="1:7" x14ac:dyDescent="0.2">
      <c r="A66" t="s">
        <v>502</v>
      </c>
      <c r="B66" t="s">
        <v>449</v>
      </c>
      <c r="C66" t="s">
        <v>451</v>
      </c>
      <c r="D66" t="s">
        <v>47</v>
      </c>
      <c r="E66" t="s">
        <v>28</v>
      </c>
      <c r="F66" t="s">
        <v>29</v>
      </c>
      <c r="G66" t="s">
        <v>33</v>
      </c>
    </row>
    <row r="67" spans="1:7" x14ac:dyDescent="0.2">
      <c r="A67" t="s">
        <v>281</v>
      </c>
      <c r="B67" t="s">
        <v>224</v>
      </c>
      <c r="C67" t="s">
        <v>226</v>
      </c>
      <c r="D67" t="s">
        <v>47</v>
      </c>
      <c r="E67" t="s">
        <v>28</v>
      </c>
      <c r="F67" t="s">
        <v>29</v>
      </c>
      <c r="G67" t="s">
        <v>33</v>
      </c>
    </row>
    <row r="68" spans="1:7" x14ac:dyDescent="0.2">
      <c r="A68" t="s">
        <v>1484</v>
      </c>
      <c r="B68" t="s">
        <v>1283</v>
      </c>
      <c r="C68" t="s">
        <v>1285</v>
      </c>
      <c r="D68" t="s">
        <v>47</v>
      </c>
      <c r="E68" t="s">
        <v>28</v>
      </c>
      <c r="F68" t="s">
        <v>29</v>
      </c>
      <c r="G68" t="s">
        <v>33</v>
      </c>
    </row>
    <row r="69" spans="1:7" x14ac:dyDescent="0.2">
      <c r="A69" t="s">
        <v>1784</v>
      </c>
      <c r="B69" t="s">
        <v>1497</v>
      </c>
      <c r="C69" t="s">
        <v>1499</v>
      </c>
      <c r="D69" t="s">
        <v>47</v>
      </c>
      <c r="E69" t="s">
        <v>28</v>
      </c>
      <c r="F69" t="s">
        <v>29</v>
      </c>
      <c r="G69" t="s">
        <v>33</v>
      </c>
    </row>
    <row r="70" spans="1:7" x14ac:dyDescent="0.2">
      <c r="A70" t="s">
        <v>319</v>
      </c>
      <c r="B70" t="s">
        <v>261</v>
      </c>
      <c r="C70" t="s">
        <v>263</v>
      </c>
      <c r="D70" t="s">
        <v>47</v>
      </c>
      <c r="E70" t="s">
        <v>28</v>
      </c>
      <c r="F70" t="s">
        <v>29</v>
      </c>
      <c r="G70" t="s">
        <v>33</v>
      </c>
    </row>
    <row r="71" spans="1:7" x14ac:dyDescent="0.2">
      <c r="A71" t="s">
        <v>1389</v>
      </c>
      <c r="B71" t="s">
        <v>1240</v>
      </c>
      <c r="C71" t="s">
        <v>1242</v>
      </c>
      <c r="D71" t="s">
        <v>47</v>
      </c>
      <c r="E71" t="s">
        <v>28</v>
      </c>
      <c r="F71" t="s">
        <v>29</v>
      </c>
      <c r="G71" t="s">
        <v>33</v>
      </c>
    </row>
    <row r="72" spans="1:7" x14ac:dyDescent="0.2">
      <c r="A72" t="s">
        <v>1822</v>
      </c>
      <c r="B72" t="s">
        <v>1529</v>
      </c>
      <c r="C72" t="s">
        <v>1531</v>
      </c>
      <c r="D72" t="s">
        <v>47</v>
      </c>
      <c r="E72" t="s">
        <v>28</v>
      </c>
      <c r="F72" t="s">
        <v>29</v>
      </c>
      <c r="G72" t="s">
        <v>33</v>
      </c>
    </row>
    <row r="73" spans="1:7" x14ac:dyDescent="0.2">
      <c r="A73" t="s">
        <v>1363</v>
      </c>
      <c r="B73" t="s">
        <v>161</v>
      </c>
      <c r="C73" t="s">
        <v>1224</v>
      </c>
      <c r="D73" t="s">
        <v>161</v>
      </c>
      <c r="E73" t="s">
        <v>28</v>
      </c>
      <c r="F73" t="s">
        <v>29</v>
      </c>
      <c r="G73" t="s">
        <v>33</v>
      </c>
    </row>
    <row r="74" spans="1:7" x14ac:dyDescent="0.2">
      <c r="A74" t="s">
        <v>1307</v>
      </c>
      <c r="B74" t="s">
        <v>1208</v>
      </c>
      <c r="C74" t="s">
        <v>1210</v>
      </c>
      <c r="D74" t="s">
        <v>47</v>
      </c>
      <c r="E74" t="s">
        <v>28</v>
      </c>
      <c r="F74" t="s">
        <v>29</v>
      </c>
      <c r="G74" t="s">
        <v>33</v>
      </c>
    </row>
    <row r="75" spans="1:7" x14ac:dyDescent="0.2">
      <c r="A75" t="s">
        <v>811</v>
      </c>
      <c r="B75" t="s">
        <v>756</v>
      </c>
      <c r="C75" t="s">
        <v>758</v>
      </c>
      <c r="D75" t="s">
        <v>47</v>
      </c>
      <c r="E75" t="s">
        <v>28</v>
      </c>
      <c r="F75" t="s">
        <v>29</v>
      </c>
      <c r="G75" t="s">
        <v>33</v>
      </c>
    </row>
    <row r="76" spans="1:7" x14ac:dyDescent="0.2">
      <c r="A76" t="s">
        <v>1505</v>
      </c>
      <c r="B76" t="s">
        <v>1294</v>
      </c>
      <c r="C76" t="s">
        <v>1296</v>
      </c>
      <c r="D76" t="s">
        <v>1294</v>
      </c>
      <c r="E76" t="s">
        <v>28</v>
      </c>
      <c r="F76" t="s">
        <v>29</v>
      </c>
      <c r="G76" t="s">
        <v>33</v>
      </c>
    </row>
    <row r="77" spans="1:7" x14ac:dyDescent="0.2">
      <c r="A77" t="s">
        <v>1259</v>
      </c>
      <c r="B77" t="s">
        <v>1188</v>
      </c>
      <c r="C77" t="s">
        <v>1190</v>
      </c>
      <c r="D77" t="s">
        <v>47</v>
      </c>
      <c r="E77" t="s">
        <v>28</v>
      </c>
      <c r="F77" t="s">
        <v>29</v>
      </c>
      <c r="G77" t="s">
        <v>33</v>
      </c>
    </row>
    <row r="78" spans="1:7" x14ac:dyDescent="0.2">
      <c r="A78" t="s">
        <v>1689</v>
      </c>
      <c r="B78" t="s">
        <v>1420</v>
      </c>
      <c r="C78" t="s">
        <v>1422</v>
      </c>
      <c r="D78" t="s">
        <v>47</v>
      </c>
      <c r="E78" t="s">
        <v>28</v>
      </c>
      <c r="F78" t="s">
        <v>29</v>
      </c>
      <c r="G78" t="s">
        <v>33</v>
      </c>
    </row>
    <row r="79" spans="1:7" x14ac:dyDescent="0.2">
      <c r="A79" t="s">
        <v>1751</v>
      </c>
      <c r="B79" t="s">
        <v>1470</v>
      </c>
      <c r="C79" t="s">
        <v>1472</v>
      </c>
      <c r="D79" t="s">
        <v>30</v>
      </c>
      <c r="E79" t="s">
        <v>28</v>
      </c>
      <c r="F79" t="s">
        <v>29</v>
      </c>
      <c r="G79" t="s">
        <v>33</v>
      </c>
    </row>
    <row r="80" spans="1:7" x14ac:dyDescent="0.2">
      <c r="A80" t="s">
        <v>1521</v>
      </c>
      <c r="B80" t="s">
        <v>1300</v>
      </c>
      <c r="C80" t="s">
        <v>1302</v>
      </c>
      <c r="D80" t="s">
        <v>1300</v>
      </c>
      <c r="E80" t="s">
        <v>28</v>
      </c>
      <c r="F80" t="s">
        <v>29</v>
      </c>
      <c r="G80" t="s">
        <v>33</v>
      </c>
    </row>
    <row r="81" spans="1:7" x14ac:dyDescent="0.2">
      <c r="A81" t="s">
        <v>43</v>
      </c>
      <c r="B81" t="s">
        <v>40</v>
      </c>
      <c r="C81" t="s">
        <v>42</v>
      </c>
      <c r="D81" t="s">
        <v>47</v>
      </c>
      <c r="E81" t="s">
        <v>28</v>
      </c>
      <c r="F81" t="s">
        <v>29</v>
      </c>
      <c r="G81" t="s">
        <v>33</v>
      </c>
    </row>
    <row r="82" spans="1:7" x14ac:dyDescent="0.2">
      <c r="A82" t="s">
        <v>1546</v>
      </c>
      <c r="B82" t="s">
        <v>1310</v>
      </c>
      <c r="C82" t="s">
        <v>1312</v>
      </c>
      <c r="D82" t="s">
        <v>1310</v>
      </c>
      <c r="E82" t="s">
        <v>28</v>
      </c>
      <c r="F82" t="s">
        <v>29</v>
      </c>
      <c r="G82" t="s">
        <v>33</v>
      </c>
    </row>
    <row r="83" spans="1:7" x14ac:dyDescent="0.2">
      <c r="A83" t="s">
        <v>297</v>
      </c>
      <c r="B83" t="s">
        <v>241</v>
      </c>
      <c r="C83" t="s">
        <v>243</v>
      </c>
      <c r="D83" t="s">
        <v>298</v>
      </c>
      <c r="E83" t="s">
        <v>28</v>
      </c>
      <c r="F83" t="s">
        <v>29</v>
      </c>
      <c r="G83" t="s">
        <v>33</v>
      </c>
    </row>
    <row r="84" spans="1:7" x14ac:dyDescent="0.2">
      <c r="A84" t="s">
        <v>291</v>
      </c>
      <c r="B84" t="s">
        <v>236</v>
      </c>
      <c r="C84" t="s">
        <v>238</v>
      </c>
      <c r="D84" t="s">
        <v>292</v>
      </c>
      <c r="E84" t="s">
        <v>28</v>
      </c>
      <c r="F84" t="s">
        <v>29</v>
      </c>
      <c r="G84" t="s">
        <v>33</v>
      </c>
    </row>
    <row r="85" spans="1:7" x14ac:dyDescent="0.2">
      <c r="A85" t="s">
        <v>1630</v>
      </c>
      <c r="B85" t="s">
        <v>1371</v>
      </c>
      <c r="C85" t="s">
        <v>1373</v>
      </c>
      <c r="D85" t="s">
        <v>1371</v>
      </c>
      <c r="E85" t="s">
        <v>28</v>
      </c>
      <c r="F85" t="s">
        <v>29</v>
      </c>
      <c r="G85" t="s">
        <v>33</v>
      </c>
    </row>
    <row r="86" spans="1:7" x14ac:dyDescent="0.2">
      <c r="A86" t="s">
        <v>1745</v>
      </c>
      <c r="B86" t="s">
        <v>1465</v>
      </c>
      <c r="C86" t="s">
        <v>1467</v>
      </c>
      <c r="D86" t="s">
        <v>30</v>
      </c>
      <c r="E86" t="s">
        <v>28</v>
      </c>
      <c r="F86" t="s">
        <v>29</v>
      </c>
      <c r="G86" t="s">
        <v>33</v>
      </c>
    </row>
    <row r="87" spans="1:7" x14ac:dyDescent="0.2">
      <c r="A87" t="s">
        <v>276</v>
      </c>
      <c r="B87" t="s">
        <v>219</v>
      </c>
      <c r="C87" t="s">
        <v>221</v>
      </c>
      <c r="D87" t="s">
        <v>47</v>
      </c>
      <c r="E87" t="s">
        <v>28</v>
      </c>
      <c r="F87" t="s">
        <v>29</v>
      </c>
      <c r="G87" t="s">
        <v>33</v>
      </c>
    </row>
    <row r="88" spans="1:7" x14ac:dyDescent="0.2">
      <c r="A88" t="s">
        <v>881</v>
      </c>
      <c r="B88" t="s">
        <v>827</v>
      </c>
      <c r="C88" t="s">
        <v>829</v>
      </c>
      <c r="D88" t="s">
        <v>47</v>
      </c>
      <c r="E88" t="s">
        <v>28</v>
      </c>
      <c r="F88" t="s">
        <v>29</v>
      </c>
      <c r="G88" t="s">
        <v>33</v>
      </c>
    </row>
    <row r="89" spans="1:7" x14ac:dyDescent="0.2">
      <c r="A89" t="s">
        <v>826</v>
      </c>
      <c r="B89" t="s">
        <v>772</v>
      </c>
      <c r="C89" t="s">
        <v>774</v>
      </c>
      <c r="D89" t="s">
        <v>47</v>
      </c>
      <c r="E89" t="s">
        <v>28</v>
      </c>
      <c r="F89" t="s">
        <v>29</v>
      </c>
      <c r="G89" t="s">
        <v>33</v>
      </c>
    </row>
    <row r="90" spans="1:7" x14ac:dyDescent="0.2">
      <c r="A90" t="s">
        <v>324</v>
      </c>
      <c r="B90" t="s">
        <v>266</v>
      </c>
      <c r="C90" t="s">
        <v>268</v>
      </c>
      <c r="D90" t="s">
        <v>47</v>
      </c>
      <c r="E90" t="s">
        <v>28</v>
      </c>
      <c r="F90" t="s">
        <v>29</v>
      </c>
      <c r="G90" t="s">
        <v>33</v>
      </c>
    </row>
    <row r="91" spans="1:7" x14ac:dyDescent="0.2">
      <c r="A91" t="s">
        <v>781</v>
      </c>
      <c r="B91" t="s">
        <v>724</v>
      </c>
      <c r="C91" t="s">
        <v>726</v>
      </c>
      <c r="D91" t="s">
        <v>47</v>
      </c>
      <c r="E91" t="s">
        <v>28</v>
      </c>
      <c r="F91" t="s">
        <v>29</v>
      </c>
      <c r="G91" t="s">
        <v>33</v>
      </c>
    </row>
    <row r="92" spans="1:7" x14ac:dyDescent="0.2">
      <c r="A92" t="s">
        <v>947</v>
      </c>
      <c r="B92" t="s">
        <v>893</v>
      </c>
      <c r="C92" t="s">
        <v>895</v>
      </c>
      <c r="D92" t="s">
        <v>47</v>
      </c>
      <c r="E92" t="s">
        <v>28</v>
      </c>
      <c r="F92" t="s">
        <v>29</v>
      </c>
      <c r="G92" t="s">
        <v>33</v>
      </c>
    </row>
    <row r="93" spans="1:7" x14ac:dyDescent="0.2">
      <c r="A93" t="s">
        <v>562</v>
      </c>
      <c r="B93" t="s">
        <v>508</v>
      </c>
      <c r="C93" t="s">
        <v>510</v>
      </c>
      <c r="D93" t="s">
        <v>47</v>
      </c>
      <c r="E93" t="s">
        <v>28</v>
      </c>
      <c r="F93" t="s">
        <v>29</v>
      </c>
      <c r="G93" t="s">
        <v>33</v>
      </c>
    </row>
    <row r="94" spans="1:7" x14ac:dyDescent="0.2">
      <c r="A94" t="s">
        <v>1152</v>
      </c>
      <c r="B94" t="s">
        <v>1097</v>
      </c>
      <c r="C94" t="s">
        <v>1099</v>
      </c>
      <c r="D94" t="s">
        <v>30</v>
      </c>
      <c r="E94" t="s">
        <v>28</v>
      </c>
      <c r="F94" t="s">
        <v>29</v>
      </c>
      <c r="G94" t="s">
        <v>33</v>
      </c>
    </row>
    <row r="95" spans="1:7" x14ac:dyDescent="0.2">
      <c r="A95" t="s">
        <v>1603</v>
      </c>
      <c r="B95" t="s">
        <v>1355</v>
      </c>
      <c r="C95" t="s">
        <v>1357</v>
      </c>
      <c r="D95" t="s">
        <v>47</v>
      </c>
      <c r="E95" t="s">
        <v>28</v>
      </c>
      <c r="F95" t="s">
        <v>29</v>
      </c>
      <c r="G95" t="s">
        <v>33</v>
      </c>
    </row>
    <row r="96" spans="1:7" x14ac:dyDescent="0.2">
      <c r="A96" t="s">
        <v>1443</v>
      </c>
      <c r="B96" t="s">
        <v>1261</v>
      </c>
      <c r="C96" t="s">
        <v>1263</v>
      </c>
      <c r="D96" t="s">
        <v>47</v>
      </c>
      <c r="E96" t="s">
        <v>28</v>
      </c>
      <c r="F96" t="s">
        <v>29</v>
      </c>
      <c r="G96" t="s">
        <v>33</v>
      </c>
    </row>
    <row r="97" spans="1:7" x14ac:dyDescent="0.2">
      <c r="A97" t="s">
        <v>1535</v>
      </c>
      <c r="B97" t="s">
        <v>1304</v>
      </c>
      <c r="C97" t="s">
        <v>1306</v>
      </c>
      <c r="D97" t="s">
        <v>47</v>
      </c>
      <c r="E97" t="s">
        <v>28</v>
      </c>
      <c r="F97" t="s">
        <v>29</v>
      </c>
      <c r="G97" t="s">
        <v>33</v>
      </c>
    </row>
    <row r="98" spans="1:7" x14ac:dyDescent="0.2">
      <c r="A98" t="s">
        <v>1811</v>
      </c>
      <c r="B98" t="s">
        <v>1518</v>
      </c>
      <c r="C98" t="s">
        <v>1520</v>
      </c>
      <c r="D98" t="s">
        <v>1815</v>
      </c>
      <c r="E98" t="s">
        <v>28</v>
      </c>
      <c r="F98" t="s">
        <v>29</v>
      </c>
      <c r="G98" t="s">
        <v>33</v>
      </c>
    </row>
    <row r="99" spans="1:7" x14ac:dyDescent="0.2">
      <c r="A99" t="s">
        <v>303</v>
      </c>
      <c r="B99" t="s">
        <v>247</v>
      </c>
      <c r="C99" t="s">
        <v>249</v>
      </c>
      <c r="D99" t="s">
        <v>304</v>
      </c>
      <c r="E99" t="s">
        <v>28</v>
      </c>
      <c r="F99" t="s">
        <v>29</v>
      </c>
      <c r="G99" t="s">
        <v>33</v>
      </c>
    </row>
    <row r="100" spans="1:7" x14ac:dyDescent="0.2">
      <c r="A100" t="s">
        <v>1212</v>
      </c>
      <c r="B100" t="s">
        <v>1158</v>
      </c>
      <c r="C100" t="s">
        <v>1160</v>
      </c>
      <c r="D100" t="s">
        <v>30</v>
      </c>
      <c r="E100" t="s">
        <v>28</v>
      </c>
      <c r="F100" t="s">
        <v>29</v>
      </c>
      <c r="G100" t="s">
        <v>33</v>
      </c>
    </row>
    <row r="101" spans="1:7" x14ac:dyDescent="0.2">
      <c r="A101" t="s">
        <v>603</v>
      </c>
      <c r="B101" t="s">
        <v>548</v>
      </c>
      <c r="C101" t="s">
        <v>550</v>
      </c>
      <c r="D101" t="s">
        <v>47</v>
      </c>
      <c r="E101" t="s">
        <v>81</v>
      </c>
      <c r="F101" t="s">
        <v>234</v>
      </c>
      <c r="G101" t="s">
        <v>33</v>
      </c>
    </row>
    <row r="102" spans="1:7" x14ac:dyDescent="0.2">
      <c r="A102" t="s">
        <v>255</v>
      </c>
      <c r="B102" t="s">
        <v>196</v>
      </c>
      <c r="C102" t="s">
        <v>198</v>
      </c>
      <c r="D102" t="s">
        <v>47</v>
      </c>
      <c r="E102" t="s">
        <v>28</v>
      </c>
      <c r="F102" t="s">
        <v>29</v>
      </c>
      <c r="G102" t="s">
        <v>33</v>
      </c>
    </row>
    <row r="103" spans="1:7" x14ac:dyDescent="0.2">
      <c r="A103" t="s">
        <v>1035</v>
      </c>
      <c r="B103" t="s">
        <v>978</v>
      </c>
      <c r="C103" t="s">
        <v>980</v>
      </c>
      <c r="D103" t="s">
        <v>47</v>
      </c>
      <c r="E103" t="s">
        <v>28</v>
      </c>
      <c r="F103" t="s">
        <v>29</v>
      </c>
      <c r="G103" t="s">
        <v>33</v>
      </c>
    </row>
    <row r="104" spans="1:7" x14ac:dyDescent="0.2">
      <c r="A104" t="s">
        <v>443</v>
      </c>
      <c r="B104" t="s">
        <v>387</v>
      </c>
      <c r="C104" t="s">
        <v>389</v>
      </c>
      <c r="D104" t="s">
        <v>47</v>
      </c>
      <c r="E104" t="s">
        <v>28</v>
      </c>
      <c r="F104" t="s">
        <v>29</v>
      </c>
      <c r="G104" t="s">
        <v>33</v>
      </c>
    </row>
    <row r="105" spans="1:7" x14ac:dyDescent="0.2">
      <c r="A105" t="s">
        <v>593</v>
      </c>
      <c r="B105" t="s">
        <v>538</v>
      </c>
      <c r="C105" t="s">
        <v>540</v>
      </c>
      <c r="D105" t="s">
        <v>47</v>
      </c>
      <c r="E105" t="s">
        <v>28</v>
      </c>
      <c r="F105" t="s">
        <v>29</v>
      </c>
      <c r="G105" t="s">
        <v>33</v>
      </c>
    </row>
    <row r="106" spans="1:7" x14ac:dyDescent="0.2">
      <c r="A106" t="s">
        <v>801</v>
      </c>
      <c r="B106" t="s">
        <v>746</v>
      </c>
      <c r="C106" t="s">
        <v>748</v>
      </c>
      <c r="D106" t="s">
        <v>47</v>
      </c>
      <c r="E106" t="s">
        <v>28</v>
      </c>
      <c r="F106" t="s">
        <v>29</v>
      </c>
      <c r="G106" t="s">
        <v>33</v>
      </c>
    </row>
    <row r="107" spans="1:7" x14ac:dyDescent="0.2">
      <c r="A107" t="s">
        <v>1147</v>
      </c>
      <c r="B107" t="s">
        <v>1092</v>
      </c>
      <c r="C107" t="s">
        <v>1094</v>
      </c>
      <c r="D107" t="s">
        <v>292</v>
      </c>
      <c r="E107" t="s">
        <v>28</v>
      </c>
      <c r="F107" t="s">
        <v>29</v>
      </c>
      <c r="G107" t="s">
        <v>33</v>
      </c>
    </row>
    <row r="108" spans="1:7" x14ac:dyDescent="0.2">
      <c r="A108" t="s">
        <v>433</v>
      </c>
      <c r="B108" t="s">
        <v>376</v>
      </c>
      <c r="C108" t="s">
        <v>378</v>
      </c>
      <c r="D108" t="s">
        <v>47</v>
      </c>
      <c r="E108" t="s">
        <v>28</v>
      </c>
      <c r="F108" t="s">
        <v>29</v>
      </c>
      <c r="G108" t="s">
        <v>33</v>
      </c>
    </row>
    <row r="109" spans="1:7" x14ac:dyDescent="0.2">
      <c r="A109" t="s">
        <v>1668</v>
      </c>
      <c r="B109" t="s">
        <v>1404</v>
      </c>
      <c r="C109" t="s">
        <v>1406</v>
      </c>
      <c r="D109" t="s">
        <v>124</v>
      </c>
      <c r="E109" t="s">
        <v>28</v>
      </c>
      <c r="F109" t="s">
        <v>29</v>
      </c>
      <c r="G109" t="s">
        <v>33</v>
      </c>
    </row>
    <row r="110" spans="1:7" x14ac:dyDescent="0.2">
      <c r="A110" t="s">
        <v>1030</v>
      </c>
      <c r="B110" t="s">
        <v>973</v>
      </c>
      <c r="C110" t="s">
        <v>975</v>
      </c>
      <c r="D110" t="s">
        <v>47</v>
      </c>
      <c r="E110" t="s">
        <v>28</v>
      </c>
      <c r="F110" t="s">
        <v>29</v>
      </c>
      <c r="G110" t="s">
        <v>33</v>
      </c>
    </row>
    <row r="111" spans="1:7" x14ac:dyDescent="0.2">
      <c r="A111" t="s">
        <v>1757</v>
      </c>
      <c r="B111" t="s">
        <v>1476</v>
      </c>
      <c r="C111" t="s">
        <v>1478</v>
      </c>
      <c r="D111" t="s">
        <v>30</v>
      </c>
      <c r="E111" t="s">
        <v>28</v>
      </c>
      <c r="F111" t="s">
        <v>29</v>
      </c>
      <c r="G111" t="s">
        <v>33</v>
      </c>
    </row>
    <row r="112" spans="1:7" x14ac:dyDescent="0.2">
      <c r="A112" t="s">
        <v>1101</v>
      </c>
      <c r="B112" t="s">
        <v>1046</v>
      </c>
      <c r="C112" t="s">
        <v>1048</v>
      </c>
      <c r="D112" t="s">
        <v>47</v>
      </c>
      <c r="E112" t="s">
        <v>28</v>
      </c>
      <c r="F112" t="s">
        <v>29</v>
      </c>
      <c r="G112" t="s">
        <v>33</v>
      </c>
    </row>
    <row r="113" spans="1:7" x14ac:dyDescent="0.2">
      <c r="A113" t="s">
        <v>68</v>
      </c>
      <c r="B113" t="s">
        <v>53</v>
      </c>
      <c r="C113" t="s">
        <v>55</v>
      </c>
      <c r="D113" t="s">
        <v>47</v>
      </c>
      <c r="E113" t="s">
        <v>28</v>
      </c>
      <c r="F113" t="s">
        <v>29</v>
      </c>
      <c r="G113" t="s">
        <v>33</v>
      </c>
    </row>
    <row r="114" spans="1:7" x14ac:dyDescent="0.2">
      <c r="A114" t="s">
        <v>1096</v>
      </c>
      <c r="B114" t="s">
        <v>1041</v>
      </c>
      <c r="C114" t="s">
        <v>1043</v>
      </c>
      <c r="D114" t="s">
        <v>47</v>
      </c>
      <c r="E114" t="s">
        <v>28</v>
      </c>
      <c r="F114" t="s">
        <v>29</v>
      </c>
      <c r="G114" t="s">
        <v>33</v>
      </c>
    </row>
    <row r="115" spans="1:7" x14ac:dyDescent="0.2">
      <c r="A115" t="s">
        <v>578</v>
      </c>
      <c r="B115" t="s">
        <v>523</v>
      </c>
      <c r="C115" t="s">
        <v>525</v>
      </c>
      <c r="D115" t="s">
        <v>292</v>
      </c>
      <c r="E115" t="s">
        <v>28</v>
      </c>
      <c r="F115" t="s">
        <v>29</v>
      </c>
      <c r="G115" t="s">
        <v>33</v>
      </c>
    </row>
    <row r="116" spans="1:7" x14ac:dyDescent="0.2">
      <c r="A116" t="s">
        <v>487</v>
      </c>
      <c r="B116" t="s">
        <v>434</v>
      </c>
      <c r="C116" t="s">
        <v>436</v>
      </c>
      <c r="D116" t="s">
        <v>292</v>
      </c>
      <c r="E116" t="s">
        <v>28</v>
      </c>
      <c r="F116" t="s">
        <v>29</v>
      </c>
      <c r="G116" t="s">
        <v>33</v>
      </c>
    </row>
    <row r="117" spans="1:7" x14ac:dyDescent="0.2">
      <c r="A117" t="s">
        <v>708</v>
      </c>
      <c r="B117" t="s">
        <v>654</v>
      </c>
      <c r="C117" t="s">
        <v>656</v>
      </c>
      <c r="D117" t="s">
        <v>292</v>
      </c>
      <c r="E117" t="s">
        <v>28</v>
      </c>
      <c r="F117" t="s">
        <v>29</v>
      </c>
      <c r="G117" t="s">
        <v>33</v>
      </c>
    </row>
    <row r="118" spans="1:7" x14ac:dyDescent="0.2">
      <c r="A118" t="s">
        <v>972</v>
      </c>
      <c r="B118" t="s">
        <v>918</v>
      </c>
      <c r="C118" t="s">
        <v>920</v>
      </c>
      <c r="D118" t="s">
        <v>30</v>
      </c>
      <c r="E118" t="s">
        <v>28</v>
      </c>
      <c r="F118" t="s">
        <v>29</v>
      </c>
      <c r="G118" t="s">
        <v>33</v>
      </c>
    </row>
    <row r="119" spans="1:7" x14ac:dyDescent="0.2">
      <c r="A119" t="s">
        <v>1226</v>
      </c>
      <c r="B119" t="s">
        <v>568</v>
      </c>
      <c r="C119" t="s">
        <v>1176</v>
      </c>
      <c r="D119" t="s">
        <v>568</v>
      </c>
      <c r="E119" t="s">
        <v>28</v>
      </c>
      <c r="F119" t="s">
        <v>29</v>
      </c>
      <c r="G119" t="s">
        <v>33</v>
      </c>
    </row>
    <row r="120" spans="1:7" x14ac:dyDescent="0.2">
      <c r="A120" t="s">
        <v>1081</v>
      </c>
      <c r="B120" t="s">
        <v>1026</v>
      </c>
      <c r="C120" t="s">
        <v>1028</v>
      </c>
      <c r="D120" t="s">
        <v>47</v>
      </c>
      <c r="E120" t="s">
        <v>28</v>
      </c>
      <c r="F120" t="s">
        <v>29</v>
      </c>
      <c r="G120" t="s">
        <v>33</v>
      </c>
    </row>
    <row r="121" spans="1:7" x14ac:dyDescent="0.2">
      <c r="A121" t="s">
        <v>1050</v>
      </c>
      <c r="B121" t="s">
        <v>996</v>
      </c>
      <c r="C121" t="s">
        <v>998</v>
      </c>
      <c r="D121" t="s">
        <v>417</v>
      </c>
      <c r="E121" t="s">
        <v>28</v>
      </c>
      <c r="F121" t="s">
        <v>29</v>
      </c>
      <c r="G121" t="s">
        <v>33</v>
      </c>
    </row>
    <row r="122" spans="1:7" x14ac:dyDescent="0.2">
      <c r="A122" t="s">
        <v>573</v>
      </c>
      <c r="B122" t="s">
        <v>518</v>
      </c>
      <c r="C122" t="s">
        <v>520</v>
      </c>
      <c r="D122" t="s">
        <v>47</v>
      </c>
      <c r="E122" t="s">
        <v>28</v>
      </c>
      <c r="F122" t="s">
        <v>29</v>
      </c>
      <c r="G122" t="s">
        <v>33</v>
      </c>
    </row>
    <row r="123" spans="1:7" x14ac:dyDescent="0.2">
      <c r="A123" t="s">
        <v>1839</v>
      </c>
      <c r="B123" t="s">
        <v>1538</v>
      </c>
      <c r="C123" t="s">
        <v>1540</v>
      </c>
      <c r="D123" t="s">
        <v>47</v>
      </c>
      <c r="E123" t="s">
        <v>28</v>
      </c>
      <c r="F123" t="s">
        <v>29</v>
      </c>
      <c r="G123" t="s">
        <v>33</v>
      </c>
    </row>
    <row r="124" spans="1:7" x14ac:dyDescent="0.2">
      <c r="A124" t="s">
        <v>1717</v>
      </c>
      <c r="B124" t="s">
        <v>1445</v>
      </c>
      <c r="C124" t="s">
        <v>1447</v>
      </c>
      <c r="D124" t="s">
        <v>47</v>
      </c>
      <c r="E124" t="s">
        <v>28</v>
      </c>
      <c r="F124" t="s">
        <v>29</v>
      </c>
      <c r="G124" t="s">
        <v>33</v>
      </c>
    </row>
    <row r="125" spans="1:7" x14ac:dyDescent="0.2">
      <c r="A125" t="s">
        <v>856</v>
      </c>
      <c r="B125" t="s">
        <v>802</v>
      </c>
      <c r="C125" t="s">
        <v>804</v>
      </c>
      <c r="D125" t="s">
        <v>47</v>
      </c>
      <c r="E125" t="s">
        <v>28</v>
      </c>
      <c r="F125" t="s">
        <v>29</v>
      </c>
      <c r="G125" t="s">
        <v>33</v>
      </c>
    </row>
    <row r="126" spans="1:7" x14ac:dyDescent="0.2">
      <c r="A126" t="s">
        <v>866</v>
      </c>
      <c r="B126" t="s">
        <v>812</v>
      </c>
      <c r="C126" t="s">
        <v>814</v>
      </c>
      <c r="D126" t="s">
        <v>47</v>
      </c>
      <c r="E126" t="s">
        <v>28</v>
      </c>
      <c r="F126" t="s">
        <v>29</v>
      </c>
      <c r="G126" t="s">
        <v>33</v>
      </c>
    </row>
    <row r="127" spans="1:7" x14ac:dyDescent="0.2">
      <c r="A127" t="s">
        <v>1674</v>
      </c>
      <c r="B127" t="s">
        <v>1410</v>
      </c>
      <c r="C127" t="s">
        <v>1412</v>
      </c>
      <c r="D127" t="s">
        <v>417</v>
      </c>
      <c r="E127" t="s">
        <v>28</v>
      </c>
      <c r="F127" t="s">
        <v>29</v>
      </c>
      <c r="G127" t="s">
        <v>33</v>
      </c>
    </row>
    <row r="128" spans="1:7" x14ac:dyDescent="0.2">
      <c r="A128" t="s">
        <v>458</v>
      </c>
      <c r="B128" t="s">
        <v>402</v>
      </c>
      <c r="C128" t="s">
        <v>404</v>
      </c>
      <c r="D128" t="s">
        <v>47</v>
      </c>
      <c r="E128" t="s">
        <v>28</v>
      </c>
      <c r="F128" t="s">
        <v>29</v>
      </c>
      <c r="G128" t="s">
        <v>33</v>
      </c>
    </row>
    <row r="129" spans="1:7" x14ac:dyDescent="0.2">
      <c r="A129" t="s">
        <v>1162</v>
      </c>
      <c r="B129" t="s">
        <v>1107</v>
      </c>
      <c r="C129" t="s">
        <v>1109</v>
      </c>
      <c r="D129" t="s">
        <v>47</v>
      </c>
      <c r="E129" t="s">
        <v>28</v>
      </c>
      <c r="F129" t="s">
        <v>29</v>
      </c>
      <c r="G129" t="s">
        <v>33</v>
      </c>
    </row>
    <row r="130" spans="1:7" x14ac:dyDescent="0.2">
      <c r="A130" t="s">
        <v>1778</v>
      </c>
      <c r="B130" t="s">
        <v>1491</v>
      </c>
      <c r="C130" t="s">
        <v>1493</v>
      </c>
      <c r="D130" t="s">
        <v>161</v>
      </c>
      <c r="E130" t="s">
        <v>28</v>
      </c>
      <c r="F130" t="s">
        <v>29</v>
      </c>
      <c r="G130" t="s">
        <v>33</v>
      </c>
    </row>
    <row r="131" spans="1:7" x14ac:dyDescent="0.2">
      <c r="A131" t="s">
        <v>472</v>
      </c>
      <c r="B131" t="s">
        <v>419</v>
      </c>
      <c r="C131" t="s">
        <v>421</v>
      </c>
      <c r="D131" t="s">
        <v>47</v>
      </c>
      <c r="E131" t="s">
        <v>28</v>
      </c>
      <c r="F131" t="s">
        <v>29</v>
      </c>
      <c r="G131" t="s">
        <v>33</v>
      </c>
    </row>
    <row r="132" spans="1:7" x14ac:dyDescent="0.2">
      <c r="A132" t="s">
        <v>1040</v>
      </c>
      <c r="B132" t="s">
        <v>983</v>
      </c>
      <c r="C132" t="s">
        <v>985</v>
      </c>
      <c r="D132" t="s">
        <v>30</v>
      </c>
      <c r="E132" t="s">
        <v>28</v>
      </c>
      <c r="F132" t="s">
        <v>29</v>
      </c>
      <c r="G132" t="s">
        <v>33</v>
      </c>
    </row>
    <row r="133" spans="1:7" x14ac:dyDescent="0.2">
      <c r="A133" t="s">
        <v>1071</v>
      </c>
      <c r="B133" t="s">
        <v>1016</v>
      </c>
      <c r="C133" t="s">
        <v>1018</v>
      </c>
      <c r="D133" t="s">
        <v>47</v>
      </c>
      <c r="E133" t="s">
        <v>28</v>
      </c>
      <c r="F133" t="s">
        <v>29</v>
      </c>
      <c r="G133" t="s">
        <v>33</v>
      </c>
    </row>
    <row r="134" spans="1:7" x14ac:dyDescent="0.2">
      <c r="A134" t="s">
        <v>477</v>
      </c>
      <c r="B134" t="s">
        <v>424</v>
      </c>
      <c r="C134" t="s">
        <v>426</v>
      </c>
      <c r="D134" t="s">
        <v>47</v>
      </c>
      <c r="E134" t="s">
        <v>28</v>
      </c>
      <c r="F134" t="s">
        <v>29</v>
      </c>
      <c r="G134" t="s">
        <v>33</v>
      </c>
    </row>
    <row r="135" spans="1:7" x14ac:dyDescent="0.2">
      <c r="A135" t="s">
        <v>265</v>
      </c>
      <c r="B135" t="s">
        <v>209</v>
      </c>
      <c r="C135" t="s">
        <v>211</v>
      </c>
      <c r="D135" t="s">
        <v>47</v>
      </c>
      <c r="E135" t="s">
        <v>28</v>
      </c>
      <c r="F135" t="s">
        <v>29</v>
      </c>
      <c r="G135" t="s">
        <v>33</v>
      </c>
    </row>
    <row r="136" spans="1:7" x14ac:dyDescent="0.2">
      <c r="A136" t="s">
        <v>364</v>
      </c>
      <c r="B136" t="s">
        <v>310</v>
      </c>
      <c r="C136" t="s">
        <v>312</v>
      </c>
      <c r="D136" t="s">
        <v>292</v>
      </c>
      <c r="E136" t="s">
        <v>28</v>
      </c>
      <c r="F136" t="s">
        <v>29</v>
      </c>
      <c r="G136" t="s">
        <v>33</v>
      </c>
    </row>
    <row r="137" spans="1:7" x14ac:dyDescent="0.2">
      <c r="A137" t="s">
        <v>1005</v>
      </c>
      <c r="B137" t="s">
        <v>948</v>
      </c>
      <c r="C137" t="s">
        <v>950</v>
      </c>
      <c r="D137" t="s">
        <v>47</v>
      </c>
      <c r="E137" t="s">
        <v>28</v>
      </c>
      <c r="F137" t="s">
        <v>29</v>
      </c>
      <c r="G137" t="s">
        <v>33</v>
      </c>
    </row>
    <row r="138" spans="1:7" x14ac:dyDescent="0.2">
      <c r="A138" t="s">
        <v>1157</v>
      </c>
      <c r="B138" t="s">
        <v>1102</v>
      </c>
      <c r="C138" t="s">
        <v>1104</v>
      </c>
      <c r="D138" t="s">
        <v>30</v>
      </c>
      <c r="E138" t="s">
        <v>28</v>
      </c>
      <c r="F138" t="s">
        <v>29</v>
      </c>
      <c r="G138" t="s">
        <v>33</v>
      </c>
    </row>
    <row r="139" spans="1:7" x14ac:dyDescent="0.2">
      <c r="A139" t="s">
        <v>532</v>
      </c>
      <c r="B139" t="s">
        <v>478</v>
      </c>
      <c r="C139" t="s">
        <v>480</v>
      </c>
      <c r="D139" t="s">
        <v>47</v>
      </c>
      <c r="E139" t="s">
        <v>28</v>
      </c>
      <c r="F139" t="s">
        <v>29</v>
      </c>
      <c r="G139" t="s">
        <v>33</v>
      </c>
    </row>
    <row r="140" spans="1:7" x14ac:dyDescent="0.2">
      <c r="A140" t="s">
        <v>1132</v>
      </c>
      <c r="B140" t="s">
        <v>1077</v>
      </c>
      <c r="C140" t="s">
        <v>1079</v>
      </c>
      <c r="D140" t="s">
        <v>47</v>
      </c>
      <c r="E140" t="s">
        <v>28</v>
      </c>
      <c r="F140" t="s">
        <v>29</v>
      </c>
      <c r="G140" t="s">
        <v>33</v>
      </c>
    </row>
    <row r="141" spans="1:7" x14ac:dyDescent="0.2">
      <c r="A141" t="s">
        <v>927</v>
      </c>
      <c r="B141" t="s">
        <v>872</v>
      </c>
      <c r="C141" t="s">
        <v>874</v>
      </c>
      <c r="D141" t="s">
        <v>47</v>
      </c>
      <c r="E141" t="s">
        <v>28</v>
      </c>
      <c r="F141" t="s">
        <v>29</v>
      </c>
      <c r="G141" t="s">
        <v>33</v>
      </c>
    </row>
    <row r="142" spans="1:7" x14ac:dyDescent="0.2">
      <c r="A142" t="s">
        <v>765</v>
      </c>
      <c r="B142" t="s">
        <v>709</v>
      </c>
      <c r="C142" t="s">
        <v>711</v>
      </c>
      <c r="D142" t="s">
        <v>47</v>
      </c>
      <c r="E142" t="s">
        <v>28</v>
      </c>
      <c r="F142" t="s">
        <v>29</v>
      </c>
      <c r="G142" t="s">
        <v>33</v>
      </c>
    </row>
    <row r="143" spans="1:7" x14ac:dyDescent="0.2">
      <c r="A143" t="s">
        <v>841</v>
      </c>
      <c r="B143" t="s">
        <v>787</v>
      </c>
      <c r="C143" t="s">
        <v>789</v>
      </c>
      <c r="D143" t="s">
        <v>30</v>
      </c>
      <c r="E143" t="s">
        <v>28</v>
      </c>
      <c r="F143" t="s">
        <v>29</v>
      </c>
      <c r="G143" t="s">
        <v>33</v>
      </c>
    </row>
    <row r="144" spans="1:7" x14ac:dyDescent="0.2">
      <c r="A144" t="s">
        <v>1730</v>
      </c>
      <c r="B144" t="s">
        <v>1454</v>
      </c>
      <c r="C144" t="s">
        <v>1456</v>
      </c>
      <c r="D144" t="s">
        <v>30</v>
      </c>
      <c r="E144" t="s">
        <v>28</v>
      </c>
      <c r="F144" t="s">
        <v>29</v>
      </c>
      <c r="G144" t="s">
        <v>33</v>
      </c>
    </row>
    <row r="145" spans="1:7" x14ac:dyDescent="0.2">
      <c r="A145" t="s">
        <v>932</v>
      </c>
      <c r="B145" t="s">
        <v>877</v>
      </c>
      <c r="C145" t="s">
        <v>879</v>
      </c>
      <c r="D145" t="s">
        <v>47</v>
      </c>
      <c r="E145" t="s">
        <v>28</v>
      </c>
      <c r="F145" t="s">
        <v>29</v>
      </c>
      <c r="G145" t="s">
        <v>33</v>
      </c>
    </row>
    <row r="146" spans="1:7" x14ac:dyDescent="0.2">
      <c r="A146" t="s">
        <v>922</v>
      </c>
      <c r="B146" t="s">
        <v>867</v>
      </c>
      <c r="C146" t="s">
        <v>869</v>
      </c>
      <c r="D146" t="s">
        <v>47</v>
      </c>
      <c r="E146" t="s">
        <v>28</v>
      </c>
      <c r="F146" t="s">
        <v>29</v>
      </c>
      <c r="G146" t="s">
        <v>33</v>
      </c>
    </row>
    <row r="147" spans="1:7" x14ac:dyDescent="0.2">
      <c r="A147" t="s">
        <v>56</v>
      </c>
      <c r="B147" t="s">
        <v>48</v>
      </c>
      <c r="C147" t="s">
        <v>50</v>
      </c>
      <c r="D147" t="s">
        <v>47</v>
      </c>
      <c r="E147" t="s">
        <v>28</v>
      </c>
      <c r="F147" t="s">
        <v>29</v>
      </c>
      <c r="G147" t="s">
        <v>33</v>
      </c>
    </row>
    <row r="148" spans="1:7" x14ac:dyDescent="0.2">
      <c r="A148" t="s">
        <v>816</v>
      </c>
      <c r="B148" t="s">
        <v>761</v>
      </c>
      <c r="C148" t="s">
        <v>763</v>
      </c>
      <c r="D148" t="s">
        <v>124</v>
      </c>
      <c r="E148" t="s">
        <v>28</v>
      </c>
      <c r="F148" t="s">
        <v>29</v>
      </c>
      <c r="G148" t="s">
        <v>33</v>
      </c>
    </row>
    <row r="149" spans="1:7" x14ac:dyDescent="0.2">
      <c r="A149" t="s">
        <v>314</v>
      </c>
      <c r="B149" t="s">
        <v>256</v>
      </c>
      <c r="C149" t="s">
        <v>258</v>
      </c>
      <c r="D149" t="s">
        <v>47</v>
      </c>
      <c r="E149" t="s">
        <v>28</v>
      </c>
      <c r="F149" t="s">
        <v>29</v>
      </c>
      <c r="G149" t="s">
        <v>33</v>
      </c>
    </row>
    <row r="150" spans="1:7" x14ac:dyDescent="0.2">
      <c r="A150" t="s">
        <v>663</v>
      </c>
      <c r="B150" t="s">
        <v>609</v>
      </c>
      <c r="C150" t="s">
        <v>611</v>
      </c>
      <c r="D150" t="s">
        <v>30</v>
      </c>
      <c r="E150" t="s">
        <v>28</v>
      </c>
      <c r="F150" t="s">
        <v>29</v>
      </c>
      <c r="G150" t="s">
        <v>33</v>
      </c>
    </row>
    <row r="151" spans="1:7" x14ac:dyDescent="0.2">
      <c r="A151" t="s">
        <v>1805</v>
      </c>
      <c r="B151" t="s">
        <v>1514</v>
      </c>
      <c r="C151" t="s">
        <v>1516</v>
      </c>
      <c r="D151" t="s">
        <v>417</v>
      </c>
      <c r="E151" t="s">
        <v>28</v>
      </c>
      <c r="F151" t="s">
        <v>29</v>
      </c>
      <c r="G151" t="s">
        <v>33</v>
      </c>
    </row>
    <row r="152" spans="1:7" x14ac:dyDescent="0.2">
      <c r="A152" t="s">
        <v>380</v>
      </c>
      <c r="B152" t="s">
        <v>325</v>
      </c>
      <c r="C152" t="s">
        <v>327</v>
      </c>
      <c r="D152" t="s">
        <v>47</v>
      </c>
      <c r="E152" t="s">
        <v>28</v>
      </c>
      <c r="F152" t="s">
        <v>29</v>
      </c>
      <c r="G152" t="s">
        <v>33</v>
      </c>
    </row>
    <row r="153" spans="1:7" x14ac:dyDescent="0.2">
      <c r="A153" t="s">
        <v>876</v>
      </c>
      <c r="B153" t="s">
        <v>822</v>
      </c>
      <c r="C153" t="s">
        <v>824</v>
      </c>
      <c r="D153" t="s">
        <v>47</v>
      </c>
      <c r="E153" t="s">
        <v>28</v>
      </c>
      <c r="F153" t="s">
        <v>29</v>
      </c>
      <c r="G153" t="s">
        <v>33</v>
      </c>
    </row>
    <row r="154" spans="1:7" x14ac:dyDescent="0.2">
      <c r="A154" t="s">
        <v>1122</v>
      </c>
      <c r="B154" t="s">
        <v>1067</v>
      </c>
      <c r="C154" t="s">
        <v>1069</v>
      </c>
      <c r="D154" t="s">
        <v>47</v>
      </c>
      <c r="E154" t="s">
        <v>28</v>
      </c>
      <c r="F154" t="s">
        <v>29</v>
      </c>
      <c r="G154" t="s">
        <v>33</v>
      </c>
    </row>
    <row r="155" spans="1:7" x14ac:dyDescent="0.2">
      <c r="A155" t="s">
        <v>1817</v>
      </c>
      <c r="B155" t="s">
        <v>386</v>
      </c>
      <c r="C155" t="s">
        <v>1525</v>
      </c>
      <c r="D155" t="s">
        <v>386</v>
      </c>
      <c r="E155" t="s">
        <v>28</v>
      </c>
      <c r="F155" t="s">
        <v>29</v>
      </c>
      <c r="G155" t="s">
        <v>33</v>
      </c>
    </row>
    <row r="156" spans="1:7" x14ac:dyDescent="0.2">
      <c r="A156" t="s">
        <v>967</v>
      </c>
      <c r="B156" t="s">
        <v>913</v>
      </c>
      <c r="C156" t="s">
        <v>915</v>
      </c>
      <c r="D156" t="s">
        <v>47</v>
      </c>
      <c r="E156" t="s">
        <v>28</v>
      </c>
      <c r="F156" t="s">
        <v>29</v>
      </c>
      <c r="G156" t="s">
        <v>33</v>
      </c>
    </row>
    <row r="157" spans="1:7" x14ac:dyDescent="0.2">
      <c r="A157" t="s">
        <v>937</v>
      </c>
      <c r="B157" t="s">
        <v>882</v>
      </c>
      <c r="C157" t="s">
        <v>884</v>
      </c>
      <c r="D157" t="s">
        <v>47</v>
      </c>
      <c r="E157" t="s">
        <v>28</v>
      </c>
      <c r="F157" t="s">
        <v>29</v>
      </c>
      <c r="G157" t="s">
        <v>33</v>
      </c>
    </row>
    <row r="158" spans="1:7" x14ac:dyDescent="0.2">
      <c r="A158" t="s">
        <v>912</v>
      </c>
      <c r="B158" t="s">
        <v>857</v>
      </c>
      <c r="C158" t="s">
        <v>859</v>
      </c>
      <c r="D158" t="s">
        <v>30</v>
      </c>
      <c r="E158" t="s">
        <v>28</v>
      </c>
      <c r="F158" t="s">
        <v>29</v>
      </c>
      <c r="G158" t="s">
        <v>33</v>
      </c>
    </row>
    <row r="159" spans="1:7" x14ac:dyDescent="0.2">
      <c r="A159" t="s">
        <v>339</v>
      </c>
      <c r="B159" t="s">
        <v>282</v>
      </c>
      <c r="C159" t="s">
        <v>284</v>
      </c>
      <c r="D159" t="s">
        <v>47</v>
      </c>
      <c r="E159" t="s">
        <v>28</v>
      </c>
      <c r="F159" t="s">
        <v>29</v>
      </c>
      <c r="G159" t="s">
        <v>33</v>
      </c>
    </row>
    <row r="160" spans="1:7" x14ac:dyDescent="0.2">
      <c r="A160" t="s">
        <v>1462</v>
      </c>
      <c r="B160" t="s">
        <v>1272</v>
      </c>
      <c r="C160" t="s">
        <v>1274</v>
      </c>
      <c r="D160" t="s">
        <v>47</v>
      </c>
      <c r="E160" t="s">
        <v>28</v>
      </c>
      <c r="F160" t="s">
        <v>29</v>
      </c>
      <c r="G160" t="s">
        <v>33</v>
      </c>
    </row>
    <row r="161" spans="1:7" x14ac:dyDescent="0.2">
      <c r="A161" t="s">
        <v>907</v>
      </c>
      <c r="B161" t="s">
        <v>852</v>
      </c>
      <c r="C161" t="s">
        <v>854</v>
      </c>
      <c r="D161" t="s">
        <v>47</v>
      </c>
      <c r="E161" t="s">
        <v>28</v>
      </c>
      <c r="F161" t="s">
        <v>29</v>
      </c>
      <c r="G161" t="s">
        <v>33</v>
      </c>
    </row>
    <row r="162" spans="1:7" x14ac:dyDescent="0.2">
      <c r="A162" t="s">
        <v>760</v>
      </c>
      <c r="B162" t="s">
        <v>704</v>
      </c>
      <c r="C162" t="s">
        <v>706</v>
      </c>
      <c r="D162" t="s">
        <v>47</v>
      </c>
      <c r="E162" t="s">
        <v>28</v>
      </c>
      <c r="F162" t="s">
        <v>29</v>
      </c>
      <c r="G162" t="s">
        <v>33</v>
      </c>
    </row>
    <row r="163" spans="1:7" x14ac:dyDescent="0.2">
      <c r="A163" t="s">
        <v>776</v>
      </c>
      <c r="B163" t="s">
        <v>719</v>
      </c>
      <c r="C163" t="s">
        <v>721</v>
      </c>
      <c r="D163" t="s">
        <v>47</v>
      </c>
      <c r="E163" t="s">
        <v>28</v>
      </c>
      <c r="F163" t="s">
        <v>29</v>
      </c>
      <c r="G163" t="s">
        <v>33</v>
      </c>
    </row>
    <row r="164" spans="1:7" x14ac:dyDescent="0.2">
      <c r="A164" t="s">
        <v>1594</v>
      </c>
      <c r="B164" t="s">
        <v>1350</v>
      </c>
      <c r="C164" t="s">
        <v>1352</v>
      </c>
      <c r="D164" t="s">
        <v>47</v>
      </c>
      <c r="E164" t="s">
        <v>28</v>
      </c>
      <c r="F164" t="s">
        <v>29</v>
      </c>
      <c r="G164" t="s">
        <v>33</v>
      </c>
    </row>
    <row r="165" spans="1:7" x14ac:dyDescent="0.2">
      <c r="A165" t="s">
        <v>1280</v>
      </c>
      <c r="B165" t="s">
        <v>1198</v>
      </c>
      <c r="C165" t="s">
        <v>1200</v>
      </c>
      <c r="D165" t="s">
        <v>47</v>
      </c>
      <c r="E165" t="s">
        <v>28</v>
      </c>
      <c r="F165" t="s">
        <v>29</v>
      </c>
      <c r="G165" t="s">
        <v>33</v>
      </c>
    </row>
    <row r="166" spans="1:7" x14ac:dyDescent="0.2">
      <c r="A166" t="s">
        <v>1269</v>
      </c>
      <c r="B166" t="s">
        <v>1193</v>
      </c>
      <c r="C166" t="s">
        <v>1195</v>
      </c>
      <c r="D166" t="s">
        <v>30</v>
      </c>
      <c r="E166" t="s">
        <v>28</v>
      </c>
      <c r="F166" t="s">
        <v>29</v>
      </c>
      <c r="G166" t="s">
        <v>33</v>
      </c>
    </row>
    <row r="167" spans="1:7" x14ac:dyDescent="0.2">
      <c r="A167" t="s">
        <v>786</v>
      </c>
      <c r="B167" t="s">
        <v>731</v>
      </c>
      <c r="C167" t="s">
        <v>733</v>
      </c>
      <c r="D167" t="s">
        <v>47</v>
      </c>
      <c r="E167" t="s">
        <v>28</v>
      </c>
      <c r="F167" t="s">
        <v>29</v>
      </c>
      <c r="G167" t="s">
        <v>33</v>
      </c>
    </row>
    <row r="168" spans="1:7" x14ac:dyDescent="0.2">
      <c r="A168" t="s">
        <v>1683</v>
      </c>
      <c r="B168" t="s">
        <v>1414</v>
      </c>
      <c r="C168" t="s">
        <v>1416</v>
      </c>
      <c r="D168" t="s">
        <v>892</v>
      </c>
      <c r="E168" t="s">
        <v>28</v>
      </c>
      <c r="F168" t="s">
        <v>29</v>
      </c>
      <c r="G168" t="s">
        <v>33</v>
      </c>
    </row>
    <row r="169" spans="1:7" x14ac:dyDescent="0.2">
      <c r="A169" t="s">
        <v>537</v>
      </c>
      <c r="B169" t="s">
        <v>483</v>
      </c>
      <c r="C169" t="s">
        <v>485</v>
      </c>
      <c r="D169" t="s">
        <v>47</v>
      </c>
      <c r="E169" t="s">
        <v>28</v>
      </c>
      <c r="F169" t="s">
        <v>29</v>
      </c>
      <c r="G169" t="s">
        <v>33</v>
      </c>
    </row>
    <row r="170" spans="1:7" x14ac:dyDescent="0.2">
      <c r="A170" t="s">
        <v>1342</v>
      </c>
      <c r="B170" t="s">
        <v>1213</v>
      </c>
      <c r="C170" t="s">
        <v>1215</v>
      </c>
      <c r="D170" t="s">
        <v>47</v>
      </c>
      <c r="E170" t="s">
        <v>28</v>
      </c>
      <c r="F170" t="s">
        <v>29</v>
      </c>
      <c r="G170" t="s">
        <v>33</v>
      </c>
    </row>
    <row r="171" spans="1:7" x14ac:dyDescent="0.2">
      <c r="A171" t="s">
        <v>23</v>
      </c>
      <c r="B171" t="s">
        <v>34</v>
      </c>
      <c r="C171" t="s">
        <v>36</v>
      </c>
      <c r="D171" t="s">
        <v>30</v>
      </c>
      <c r="E171" t="s">
        <v>28</v>
      </c>
      <c r="F171" t="s">
        <v>29</v>
      </c>
      <c r="G171" t="s">
        <v>33</v>
      </c>
    </row>
    <row r="172" spans="1:7" x14ac:dyDescent="0.2">
      <c r="A172" t="s">
        <v>527</v>
      </c>
      <c r="B172" t="s">
        <v>473</v>
      </c>
      <c r="C172" t="s">
        <v>475</v>
      </c>
      <c r="D172" t="s">
        <v>47</v>
      </c>
      <c r="E172" t="s">
        <v>28</v>
      </c>
      <c r="F172" t="s">
        <v>29</v>
      </c>
      <c r="G172" t="s">
        <v>33</v>
      </c>
    </row>
    <row r="173" spans="1:7" x14ac:dyDescent="0.2">
      <c r="A173" t="s">
        <v>917</v>
      </c>
      <c r="B173" t="s">
        <v>862</v>
      </c>
      <c r="C173" t="s">
        <v>864</v>
      </c>
      <c r="D173" t="s">
        <v>30</v>
      </c>
      <c r="E173" t="s">
        <v>28</v>
      </c>
      <c r="F173" t="s">
        <v>29</v>
      </c>
      <c r="G173" t="s">
        <v>33</v>
      </c>
    </row>
    <row r="174" spans="1:7" x14ac:dyDescent="0.2">
      <c r="A174" t="s">
        <v>512</v>
      </c>
      <c r="B174" t="s">
        <v>459</v>
      </c>
      <c r="C174" t="s">
        <v>461</v>
      </c>
      <c r="D174" t="s">
        <v>47</v>
      </c>
      <c r="E174" t="s">
        <v>81</v>
      </c>
      <c r="F174" t="s">
        <v>234</v>
      </c>
      <c r="G174" t="s">
        <v>33</v>
      </c>
    </row>
    <row r="175" spans="1:7" x14ac:dyDescent="0.2">
      <c r="A175" t="s">
        <v>713</v>
      </c>
      <c r="B175" t="s">
        <v>659</v>
      </c>
      <c r="C175" t="s">
        <v>661</v>
      </c>
      <c r="D175" t="s">
        <v>47</v>
      </c>
      <c r="E175" t="s">
        <v>81</v>
      </c>
      <c r="F175" t="s">
        <v>234</v>
      </c>
      <c r="G175" t="s">
        <v>33</v>
      </c>
    </row>
    <row r="176" spans="1:7" x14ac:dyDescent="0.2">
      <c r="A176" t="s">
        <v>1076</v>
      </c>
      <c r="B176" t="s">
        <v>1021</v>
      </c>
      <c r="C176" t="s">
        <v>1023</v>
      </c>
      <c r="D176" t="s">
        <v>47</v>
      </c>
      <c r="E176" t="s">
        <v>28</v>
      </c>
      <c r="F176" t="s">
        <v>29</v>
      </c>
      <c r="G176" t="s">
        <v>33</v>
      </c>
    </row>
    <row r="177" spans="1:7" x14ac:dyDescent="0.2">
      <c r="A177" t="s">
        <v>962</v>
      </c>
      <c r="B177" t="s">
        <v>908</v>
      </c>
      <c r="C177" t="s">
        <v>910</v>
      </c>
      <c r="D177" t="s">
        <v>47</v>
      </c>
      <c r="E177" t="s">
        <v>28</v>
      </c>
      <c r="F177" t="s">
        <v>29</v>
      </c>
      <c r="G177" t="s">
        <v>33</v>
      </c>
    </row>
    <row r="178" spans="1:7" x14ac:dyDescent="0.2">
      <c r="A178" t="s">
        <v>557</v>
      </c>
      <c r="B178" t="s">
        <v>503</v>
      </c>
      <c r="C178" t="s">
        <v>505</v>
      </c>
      <c r="D178" t="s">
        <v>47</v>
      </c>
      <c r="E178" t="s">
        <v>28</v>
      </c>
      <c r="F178" t="s">
        <v>29</v>
      </c>
      <c r="G178" t="s">
        <v>33</v>
      </c>
    </row>
    <row r="179" spans="1:7" x14ac:dyDescent="0.2">
      <c r="A179" t="s">
        <v>791</v>
      </c>
      <c r="B179" t="s">
        <v>736</v>
      </c>
      <c r="C179" t="s">
        <v>738</v>
      </c>
      <c r="D179" t="s">
        <v>47</v>
      </c>
      <c r="E179" t="s">
        <v>28</v>
      </c>
      <c r="F179" t="s">
        <v>29</v>
      </c>
      <c r="G179" t="s">
        <v>33</v>
      </c>
    </row>
    <row r="180" spans="1:7" x14ac:dyDescent="0.2">
      <c r="A180" t="s">
        <v>1772</v>
      </c>
      <c r="B180" t="s">
        <v>1486</v>
      </c>
      <c r="C180" t="s">
        <v>1488</v>
      </c>
      <c r="D180" t="s">
        <v>30</v>
      </c>
      <c r="E180" t="s">
        <v>28</v>
      </c>
      <c r="F180" t="s">
        <v>29</v>
      </c>
      <c r="G180" t="s">
        <v>33</v>
      </c>
    </row>
    <row r="181" spans="1:7" x14ac:dyDescent="0.2">
      <c r="A181" t="s">
        <v>1615</v>
      </c>
      <c r="B181" t="s">
        <v>1360</v>
      </c>
      <c r="C181" t="s">
        <v>1362</v>
      </c>
      <c r="D181" t="s">
        <v>47</v>
      </c>
      <c r="E181" t="s">
        <v>28</v>
      </c>
      <c r="F181" t="s">
        <v>29</v>
      </c>
      <c r="G181" t="s">
        <v>33</v>
      </c>
    </row>
    <row r="182" spans="1:7" x14ac:dyDescent="0.2">
      <c r="A182" t="s">
        <v>598</v>
      </c>
      <c r="B182" t="s">
        <v>543</v>
      </c>
      <c r="C182" t="s">
        <v>545</v>
      </c>
      <c r="D182" t="s">
        <v>292</v>
      </c>
      <c r="E182" t="s">
        <v>28</v>
      </c>
      <c r="F182" t="s">
        <v>29</v>
      </c>
      <c r="G182" t="s">
        <v>33</v>
      </c>
    </row>
    <row r="183" spans="1:7" x14ac:dyDescent="0.2">
      <c r="A183" t="s">
        <v>1060</v>
      </c>
      <c r="B183" t="s">
        <v>1006</v>
      </c>
      <c r="C183" t="s">
        <v>1008</v>
      </c>
      <c r="D183" t="s">
        <v>47</v>
      </c>
      <c r="E183" t="s">
        <v>28</v>
      </c>
      <c r="F183" t="s">
        <v>29</v>
      </c>
      <c r="G183" t="s">
        <v>33</v>
      </c>
    </row>
    <row r="184" spans="1:7" x14ac:dyDescent="0.2">
      <c r="A184" t="s">
        <v>1137</v>
      </c>
      <c r="B184" t="s">
        <v>1082</v>
      </c>
      <c r="C184" t="s">
        <v>1084</v>
      </c>
      <c r="D184" t="s">
        <v>292</v>
      </c>
      <c r="E184" t="s">
        <v>28</v>
      </c>
      <c r="F184" t="s">
        <v>29</v>
      </c>
      <c r="G184" t="s">
        <v>33</v>
      </c>
    </row>
    <row r="185" spans="1:7" x14ac:dyDescent="0.2">
      <c r="A185" t="s">
        <v>463</v>
      </c>
      <c r="B185" t="s">
        <v>407</v>
      </c>
      <c r="C185" t="s">
        <v>409</v>
      </c>
      <c r="D185" t="s">
        <v>47</v>
      </c>
      <c r="E185" t="s">
        <v>28</v>
      </c>
      <c r="F185" t="s">
        <v>29</v>
      </c>
      <c r="G185" t="s">
        <v>33</v>
      </c>
    </row>
    <row r="186" spans="1:7" x14ac:dyDescent="0.2">
      <c r="A186" t="s">
        <v>251</v>
      </c>
      <c r="B186" t="s">
        <v>190</v>
      </c>
      <c r="C186" t="s">
        <v>192</v>
      </c>
      <c r="D186" t="s">
        <v>47</v>
      </c>
      <c r="E186" t="s">
        <v>81</v>
      </c>
      <c r="F186" t="s">
        <v>234</v>
      </c>
      <c r="G186" t="s">
        <v>33</v>
      </c>
    </row>
    <row r="187" spans="1:7" x14ac:dyDescent="0.2">
      <c r="A187" t="s">
        <v>240</v>
      </c>
      <c r="B187" t="s">
        <v>177</v>
      </c>
      <c r="C187" t="s">
        <v>179</v>
      </c>
      <c r="D187" t="s">
        <v>30</v>
      </c>
      <c r="E187" t="s">
        <v>28</v>
      </c>
      <c r="F187" t="s">
        <v>29</v>
      </c>
      <c r="G187" t="s">
        <v>33</v>
      </c>
    </row>
    <row r="188" spans="1:7" x14ac:dyDescent="0.2">
      <c r="A188" t="s">
        <v>233</v>
      </c>
      <c r="B188" t="s">
        <v>172</v>
      </c>
      <c r="C188" t="s">
        <v>174</v>
      </c>
      <c r="D188" t="s">
        <v>47</v>
      </c>
      <c r="E188" t="s">
        <v>81</v>
      </c>
      <c r="F188" t="s">
        <v>234</v>
      </c>
      <c r="G188" t="s">
        <v>33</v>
      </c>
    </row>
    <row r="189" spans="1:7" x14ac:dyDescent="0.2">
      <c r="A189" t="s">
        <v>228</v>
      </c>
      <c r="B189" t="s">
        <v>163</v>
      </c>
      <c r="C189" t="s">
        <v>165</v>
      </c>
      <c r="D189" t="s">
        <v>30</v>
      </c>
      <c r="E189" t="s">
        <v>28</v>
      </c>
      <c r="F189" t="s">
        <v>29</v>
      </c>
      <c r="G189" t="s">
        <v>33</v>
      </c>
    </row>
    <row r="190" spans="1:7" x14ac:dyDescent="0.2">
      <c r="A190" t="s">
        <v>846</v>
      </c>
      <c r="B190" t="s">
        <v>792</v>
      </c>
      <c r="C190" t="s">
        <v>794</v>
      </c>
      <c r="D190" t="s">
        <v>47</v>
      </c>
      <c r="E190" t="s">
        <v>28</v>
      </c>
      <c r="F190" t="s">
        <v>29</v>
      </c>
      <c r="G190" t="s">
        <v>33</v>
      </c>
    </row>
    <row r="191" spans="1:7" x14ac:dyDescent="0.2">
      <c r="A191" t="s">
        <v>1853</v>
      </c>
      <c r="B191" t="s">
        <v>1543</v>
      </c>
      <c r="C191" t="s">
        <v>1545</v>
      </c>
      <c r="D191" t="s">
        <v>47</v>
      </c>
      <c r="E191" t="s">
        <v>28</v>
      </c>
      <c r="F191" t="s">
        <v>29</v>
      </c>
      <c r="G191" t="s">
        <v>33</v>
      </c>
    </row>
    <row r="192" spans="1:7" x14ac:dyDescent="0.2">
      <c r="A192" t="s">
        <v>952</v>
      </c>
      <c r="B192" t="s">
        <v>898</v>
      </c>
      <c r="C192" t="s">
        <v>900</v>
      </c>
      <c r="D192" t="s">
        <v>30</v>
      </c>
      <c r="E192" t="s">
        <v>28</v>
      </c>
      <c r="F192" t="s">
        <v>29</v>
      </c>
      <c r="G192" t="s">
        <v>33</v>
      </c>
    </row>
    <row r="193" spans="1:7" x14ac:dyDescent="0.2">
      <c r="A193" t="s">
        <v>608</v>
      </c>
      <c r="B193" t="s">
        <v>553</v>
      </c>
      <c r="C193" t="s">
        <v>555</v>
      </c>
      <c r="D193" t="s">
        <v>47</v>
      </c>
      <c r="E193" t="s">
        <v>28</v>
      </c>
      <c r="F193" t="s">
        <v>29</v>
      </c>
      <c r="G193" t="s">
        <v>33</v>
      </c>
    </row>
    <row r="194" spans="1:7" x14ac:dyDescent="0.2">
      <c r="A194" t="s">
        <v>638</v>
      </c>
      <c r="B194" t="s">
        <v>584</v>
      </c>
      <c r="C194" t="s">
        <v>586</v>
      </c>
      <c r="D194" t="s">
        <v>47</v>
      </c>
      <c r="E194" t="s">
        <v>28</v>
      </c>
      <c r="F194" t="s">
        <v>29</v>
      </c>
      <c r="G194" t="s">
        <v>33</v>
      </c>
    </row>
    <row r="195" spans="1:7" x14ac:dyDescent="0.2">
      <c r="A195" t="s">
        <v>694</v>
      </c>
      <c r="B195" t="s">
        <v>639</v>
      </c>
      <c r="C195" t="s">
        <v>641</v>
      </c>
      <c r="D195" t="s">
        <v>47</v>
      </c>
      <c r="E195" t="s">
        <v>28</v>
      </c>
      <c r="F195" t="s">
        <v>29</v>
      </c>
      <c r="G195" t="s">
        <v>33</v>
      </c>
    </row>
    <row r="196" spans="1:7" x14ac:dyDescent="0.2">
      <c r="A196" t="s">
        <v>1473</v>
      </c>
      <c r="B196" t="s">
        <v>1277</v>
      </c>
      <c r="C196" t="s">
        <v>1279</v>
      </c>
      <c r="D196" t="s">
        <v>47</v>
      </c>
      <c r="E196" t="s">
        <v>28</v>
      </c>
      <c r="F196" t="s">
        <v>29</v>
      </c>
      <c r="G196" t="s">
        <v>33</v>
      </c>
    </row>
    <row r="197" spans="1:7" x14ac:dyDescent="0.2">
      <c r="A197" t="s">
        <v>1557</v>
      </c>
      <c r="B197" t="s">
        <v>1316</v>
      </c>
      <c r="C197" t="s">
        <v>1318</v>
      </c>
      <c r="D197" t="s">
        <v>47</v>
      </c>
      <c r="E197" t="s">
        <v>28</v>
      </c>
      <c r="F197" t="s">
        <v>29</v>
      </c>
      <c r="G197" t="s">
        <v>33</v>
      </c>
    </row>
    <row r="198" spans="1:7" x14ac:dyDescent="0.2">
      <c r="A198" t="s">
        <v>633</v>
      </c>
      <c r="B198" t="s">
        <v>579</v>
      </c>
      <c r="C198" t="s">
        <v>581</v>
      </c>
      <c r="D198" t="s">
        <v>47</v>
      </c>
      <c r="E198" t="s">
        <v>28</v>
      </c>
      <c r="F198" t="s">
        <v>29</v>
      </c>
      <c r="G198" t="s">
        <v>33</v>
      </c>
    </row>
    <row r="199" spans="1:7" x14ac:dyDescent="0.2">
      <c r="A199" t="s">
        <v>699</v>
      </c>
      <c r="B199" t="s">
        <v>644</v>
      </c>
      <c r="C199" t="s">
        <v>646</v>
      </c>
      <c r="D199" t="s">
        <v>386</v>
      </c>
      <c r="E199" t="s">
        <v>28</v>
      </c>
      <c r="F199" t="s">
        <v>29</v>
      </c>
      <c r="G199" t="s">
        <v>33</v>
      </c>
    </row>
    <row r="200" spans="1:7" x14ac:dyDescent="0.2">
      <c r="A200" t="s">
        <v>613</v>
      </c>
      <c r="B200" t="s">
        <v>558</v>
      </c>
      <c r="C200" t="s">
        <v>560</v>
      </c>
      <c r="D200" t="s">
        <v>47</v>
      </c>
      <c r="E200" t="s">
        <v>28</v>
      </c>
      <c r="F200" t="s">
        <v>29</v>
      </c>
      <c r="G200" t="s">
        <v>33</v>
      </c>
    </row>
    <row r="201" spans="1:7" x14ac:dyDescent="0.2">
      <c r="A201" t="s">
        <v>806</v>
      </c>
      <c r="B201" t="s">
        <v>751</v>
      </c>
      <c r="C201" t="s">
        <v>753</v>
      </c>
      <c r="D201" t="s">
        <v>47</v>
      </c>
      <c r="E201" t="s">
        <v>28</v>
      </c>
      <c r="F201" t="s">
        <v>29</v>
      </c>
      <c r="G201" t="s">
        <v>33</v>
      </c>
    </row>
    <row r="202" spans="1:7" x14ac:dyDescent="0.2">
      <c r="A202" t="s">
        <v>821</v>
      </c>
      <c r="B202" t="s">
        <v>767</v>
      </c>
      <c r="C202" t="s">
        <v>769</v>
      </c>
      <c r="D202" t="s">
        <v>30</v>
      </c>
      <c r="E202" t="s">
        <v>28</v>
      </c>
      <c r="F202" t="s">
        <v>29</v>
      </c>
      <c r="G202" t="s">
        <v>33</v>
      </c>
    </row>
    <row r="203" spans="1:7" x14ac:dyDescent="0.2">
      <c r="A203" t="s">
        <v>1709</v>
      </c>
      <c r="B203" t="s">
        <v>1436</v>
      </c>
      <c r="C203" t="s">
        <v>1438</v>
      </c>
      <c r="D203" t="s">
        <v>30</v>
      </c>
      <c r="E203" t="s">
        <v>28</v>
      </c>
      <c r="F203" t="s">
        <v>29</v>
      </c>
      <c r="G203" t="s">
        <v>33</v>
      </c>
    </row>
    <row r="204" spans="1:7" x14ac:dyDescent="0.2">
      <c r="A204" t="s">
        <v>851</v>
      </c>
      <c r="B204" t="s">
        <v>797</v>
      </c>
      <c r="C204" t="s">
        <v>799</v>
      </c>
      <c r="D204" t="s">
        <v>30</v>
      </c>
      <c r="E204" t="s">
        <v>28</v>
      </c>
      <c r="F204" t="s">
        <v>29</v>
      </c>
      <c r="G204" t="s">
        <v>33</v>
      </c>
    </row>
    <row r="205" spans="1:7" x14ac:dyDescent="0.2">
      <c r="A205" t="s">
        <v>1417</v>
      </c>
      <c r="B205" t="s">
        <v>1251</v>
      </c>
      <c r="C205" t="s">
        <v>1253</v>
      </c>
      <c r="D205" t="s">
        <v>47</v>
      </c>
      <c r="E205" t="s">
        <v>28</v>
      </c>
      <c r="F205" t="s">
        <v>29</v>
      </c>
      <c r="G205" t="s">
        <v>33</v>
      </c>
    </row>
    <row r="206" spans="1:7" x14ac:dyDescent="0.2">
      <c r="A206" t="s">
        <v>1858</v>
      </c>
      <c r="B206" t="s">
        <v>1549</v>
      </c>
      <c r="C206" t="s">
        <v>1551</v>
      </c>
      <c r="D206" t="s">
        <v>47</v>
      </c>
      <c r="E206" t="s">
        <v>28</v>
      </c>
      <c r="F206" t="s">
        <v>29</v>
      </c>
      <c r="G206" t="s">
        <v>33</v>
      </c>
    </row>
    <row r="207" spans="1:7" x14ac:dyDescent="0.2">
      <c r="A207" t="s">
        <v>482</v>
      </c>
      <c r="B207" t="s">
        <v>429</v>
      </c>
      <c r="C207" t="s">
        <v>431</v>
      </c>
      <c r="D207" t="s">
        <v>47</v>
      </c>
      <c r="E207" t="s">
        <v>28</v>
      </c>
      <c r="F207" t="s">
        <v>29</v>
      </c>
      <c r="G207" t="s">
        <v>33</v>
      </c>
    </row>
    <row r="208" spans="1:7" x14ac:dyDescent="0.2">
      <c r="A208" t="s">
        <v>396</v>
      </c>
      <c r="B208" t="s">
        <v>340</v>
      </c>
      <c r="C208" t="s">
        <v>342</v>
      </c>
      <c r="D208" t="s">
        <v>47</v>
      </c>
      <c r="E208" t="s">
        <v>28</v>
      </c>
      <c r="F208" t="s">
        <v>29</v>
      </c>
      <c r="G208" t="s">
        <v>33</v>
      </c>
    </row>
    <row r="209" spans="1:7" x14ac:dyDescent="0.2">
      <c r="A209" t="s">
        <v>703</v>
      </c>
      <c r="B209" t="s">
        <v>649</v>
      </c>
      <c r="C209" t="s">
        <v>651</v>
      </c>
      <c r="D209" t="s">
        <v>47</v>
      </c>
      <c r="E209" t="s">
        <v>28</v>
      </c>
      <c r="F209" t="s">
        <v>29</v>
      </c>
      <c r="G209" t="s">
        <v>33</v>
      </c>
    </row>
    <row r="210" spans="1:7" x14ac:dyDescent="0.2">
      <c r="A210" t="s">
        <v>260</v>
      </c>
      <c r="B210" t="s">
        <v>201</v>
      </c>
      <c r="C210" t="s">
        <v>203</v>
      </c>
      <c r="D210" t="s">
        <v>30</v>
      </c>
      <c r="E210" t="s">
        <v>28</v>
      </c>
      <c r="F210" t="s">
        <v>29</v>
      </c>
      <c r="G210" t="s">
        <v>33</v>
      </c>
    </row>
    <row r="211" spans="1:7" x14ac:dyDescent="0.2">
      <c r="A211" t="s">
        <v>1217</v>
      </c>
      <c r="B211" t="s">
        <v>1163</v>
      </c>
      <c r="C211" t="s">
        <v>1165</v>
      </c>
      <c r="D211" t="s">
        <v>161</v>
      </c>
      <c r="E211" t="s">
        <v>28</v>
      </c>
      <c r="F211" t="s">
        <v>29</v>
      </c>
      <c r="G211" t="s">
        <v>33</v>
      </c>
    </row>
    <row r="212" spans="1:7" x14ac:dyDescent="0.2">
      <c r="A212" t="s">
        <v>218</v>
      </c>
      <c r="B212" t="s">
        <v>147</v>
      </c>
      <c r="C212" t="s">
        <v>149</v>
      </c>
      <c r="D212" t="s">
        <v>47</v>
      </c>
      <c r="E212" t="s">
        <v>28</v>
      </c>
      <c r="F212" t="s">
        <v>29</v>
      </c>
      <c r="G212" t="s">
        <v>33</v>
      </c>
    </row>
    <row r="213" spans="1:7" x14ac:dyDescent="0.2">
      <c r="A213" t="s">
        <v>401</v>
      </c>
      <c r="B213" t="s">
        <v>345</v>
      </c>
      <c r="C213" t="s">
        <v>347</v>
      </c>
      <c r="D213" t="s">
        <v>47</v>
      </c>
      <c r="E213" t="s">
        <v>81</v>
      </c>
      <c r="F213" t="s">
        <v>234</v>
      </c>
      <c r="G213" t="s">
        <v>33</v>
      </c>
    </row>
    <row r="214" spans="1:7" x14ac:dyDescent="0.2">
      <c r="A214" t="s">
        <v>1202</v>
      </c>
      <c r="B214" t="s">
        <v>1148</v>
      </c>
      <c r="C214" t="s">
        <v>1150</v>
      </c>
      <c r="D214" t="s">
        <v>47</v>
      </c>
      <c r="E214" t="s">
        <v>28</v>
      </c>
      <c r="F214" t="s">
        <v>29</v>
      </c>
      <c r="G214" t="s">
        <v>33</v>
      </c>
    </row>
    <row r="215" spans="1:7" x14ac:dyDescent="0.2">
      <c r="A215" t="s">
        <v>723</v>
      </c>
      <c r="B215" t="s">
        <v>669</v>
      </c>
      <c r="C215" t="s">
        <v>671</v>
      </c>
      <c r="D215" t="s">
        <v>47</v>
      </c>
      <c r="E215" t="s">
        <v>28</v>
      </c>
      <c r="F215" t="s">
        <v>29</v>
      </c>
      <c r="G215" t="s">
        <v>33</v>
      </c>
    </row>
    <row r="216" spans="1:7" x14ac:dyDescent="0.2">
      <c r="A216" t="s">
        <v>375</v>
      </c>
      <c r="B216" t="s">
        <v>320</v>
      </c>
      <c r="C216" t="s">
        <v>322</v>
      </c>
      <c r="D216" t="s">
        <v>47</v>
      </c>
      <c r="E216" t="s">
        <v>81</v>
      </c>
      <c r="F216" t="s">
        <v>234</v>
      </c>
      <c r="G216" t="s">
        <v>33</v>
      </c>
    </row>
    <row r="217" spans="1:7" x14ac:dyDescent="0.2">
      <c r="A217" t="s">
        <v>942</v>
      </c>
      <c r="B217" t="s">
        <v>887</v>
      </c>
      <c r="C217" t="s">
        <v>889</v>
      </c>
      <c r="D217" t="s">
        <v>47</v>
      </c>
      <c r="E217" t="s">
        <v>28</v>
      </c>
      <c r="F217" t="s">
        <v>29</v>
      </c>
      <c r="G217" t="s">
        <v>33</v>
      </c>
    </row>
    <row r="218" spans="1:7" x14ac:dyDescent="0.2">
      <c r="A218" t="s">
        <v>740</v>
      </c>
      <c r="B218" t="s">
        <v>685</v>
      </c>
      <c r="C218" t="s">
        <v>687</v>
      </c>
      <c r="D218" t="s">
        <v>47</v>
      </c>
      <c r="E218" t="s">
        <v>28</v>
      </c>
      <c r="F218" t="s">
        <v>29</v>
      </c>
      <c r="G218" t="s">
        <v>33</v>
      </c>
    </row>
    <row r="219" spans="1:7" x14ac:dyDescent="0.2">
      <c r="A219" t="s">
        <v>329</v>
      </c>
      <c r="B219" t="s">
        <v>272</v>
      </c>
      <c r="C219" t="s">
        <v>274</v>
      </c>
      <c r="D219" t="s">
        <v>47</v>
      </c>
      <c r="E219" t="s">
        <v>28</v>
      </c>
      <c r="F219" t="s">
        <v>29</v>
      </c>
      <c r="G219" t="s">
        <v>33</v>
      </c>
    </row>
    <row r="220" spans="1:7" x14ac:dyDescent="0.2">
      <c r="A220" t="s">
        <v>517</v>
      </c>
      <c r="B220" t="s">
        <v>464</v>
      </c>
      <c r="C220" t="s">
        <v>466</v>
      </c>
      <c r="D220" t="s">
        <v>47</v>
      </c>
      <c r="E220" t="s">
        <v>28</v>
      </c>
      <c r="F220" t="s">
        <v>29</v>
      </c>
      <c r="G220" t="s">
        <v>33</v>
      </c>
    </row>
    <row r="221" spans="1:7" x14ac:dyDescent="0.2">
      <c r="A221" t="s">
        <v>354</v>
      </c>
      <c r="B221" t="s">
        <v>299</v>
      </c>
      <c r="C221" t="s">
        <v>301</v>
      </c>
      <c r="D221" t="s">
        <v>47</v>
      </c>
      <c r="E221" t="s">
        <v>28</v>
      </c>
      <c r="F221" t="s">
        <v>29</v>
      </c>
      <c r="G221" t="s">
        <v>33</v>
      </c>
    </row>
    <row r="222" spans="1:7" x14ac:dyDescent="0.2">
      <c r="A222" t="s">
        <v>886</v>
      </c>
      <c r="B222" t="s">
        <v>832</v>
      </c>
      <c r="C222" t="s">
        <v>834</v>
      </c>
      <c r="D222" t="s">
        <v>47</v>
      </c>
      <c r="E222" t="s">
        <v>28</v>
      </c>
      <c r="F222" t="s">
        <v>29</v>
      </c>
      <c r="G222" t="s">
        <v>33</v>
      </c>
    </row>
    <row r="223" spans="1:7" x14ac:dyDescent="0.2">
      <c r="A223" t="s">
        <v>1045</v>
      </c>
      <c r="B223" t="s">
        <v>991</v>
      </c>
      <c r="C223" t="s">
        <v>993</v>
      </c>
      <c r="D223" t="s">
        <v>30</v>
      </c>
      <c r="E223" t="s">
        <v>28</v>
      </c>
      <c r="F223" t="s">
        <v>29</v>
      </c>
      <c r="G223" t="s">
        <v>33</v>
      </c>
    </row>
    <row r="224" spans="1:7" x14ac:dyDescent="0.2">
      <c r="A224" t="s">
        <v>1222</v>
      </c>
      <c r="B224" t="s">
        <v>1169</v>
      </c>
      <c r="C224" t="s">
        <v>1171</v>
      </c>
      <c r="D224" t="s">
        <v>47</v>
      </c>
      <c r="E224" t="s">
        <v>28</v>
      </c>
      <c r="F224" t="s">
        <v>29</v>
      </c>
      <c r="G224" t="s">
        <v>33</v>
      </c>
    </row>
    <row r="225" spans="1:7" x14ac:dyDescent="0.2">
      <c r="A225" t="s">
        <v>1698</v>
      </c>
      <c r="B225" t="s">
        <v>1425</v>
      </c>
      <c r="C225" t="s">
        <v>1427</v>
      </c>
      <c r="D225" t="s">
        <v>30</v>
      </c>
      <c r="E225" t="s">
        <v>28</v>
      </c>
      <c r="F225" t="s">
        <v>29</v>
      </c>
      <c r="G225" t="s">
        <v>33</v>
      </c>
    </row>
    <row r="226" spans="1:7" x14ac:dyDescent="0.2">
      <c r="A226" t="s">
        <v>507</v>
      </c>
      <c r="B226" t="s">
        <v>454</v>
      </c>
      <c r="C226" t="s">
        <v>456</v>
      </c>
      <c r="D226" t="s">
        <v>47</v>
      </c>
      <c r="E226" t="s">
        <v>81</v>
      </c>
      <c r="F226" t="s">
        <v>234</v>
      </c>
      <c r="G226" t="s">
        <v>33</v>
      </c>
    </row>
    <row r="227" spans="1:7" x14ac:dyDescent="0.2">
      <c r="A227" t="s">
        <v>618</v>
      </c>
      <c r="B227" t="s">
        <v>563</v>
      </c>
      <c r="C227" t="s">
        <v>565</v>
      </c>
      <c r="D227" t="s">
        <v>47</v>
      </c>
      <c r="E227" t="s">
        <v>28</v>
      </c>
      <c r="F227" t="s">
        <v>29</v>
      </c>
      <c r="G227" t="s">
        <v>33</v>
      </c>
    </row>
    <row r="228" spans="1:7" x14ac:dyDescent="0.2">
      <c r="A228" t="s">
        <v>871</v>
      </c>
      <c r="B228" t="s">
        <v>817</v>
      </c>
      <c r="C228" t="s">
        <v>819</v>
      </c>
      <c r="D228" t="s">
        <v>30</v>
      </c>
      <c r="E228" t="s">
        <v>28</v>
      </c>
      <c r="F228" t="s">
        <v>29</v>
      </c>
      <c r="G228" t="s">
        <v>33</v>
      </c>
    </row>
    <row r="229" spans="1:7" x14ac:dyDescent="0.2">
      <c r="A229" t="s">
        <v>583</v>
      </c>
      <c r="B229" t="s">
        <v>528</v>
      </c>
      <c r="C229" t="s">
        <v>530</v>
      </c>
      <c r="D229" t="s">
        <v>47</v>
      </c>
      <c r="E229" t="s">
        <v>28</v>
      </c>
      <c r="F229" t="s">
        <v>29</v>
      </c>
      <c r="G229" t="s">
        <v>33</v>
      </c>
    </row>
    <row r="230" spans="1:7" x14ac:dyDescent="0.2">
      <c r="A230" t="s">
        <v>668</v>
      </c>
      <c r="B230" t="s">
        <v>614</v>
      </c>
      <c r="C230" t="s">
        <v>616</v>
      </c>
      <c r="D230" t="s">
        <v>47</v>
      </c>
      <c r="E230" t="s">
        <v>28</v>
      </c>
      <c r="F230" t="s">
        <v>29</v>
      </c>
      <c r="G230" t="s">
        <v>33</v>
      </c>
    </row>
    <row r="231" spans="1:7" x14ac:dyDescent="0.2">
      <c r="A231" t="s">
        <v>492</v>
      </c>
      <c r="B231" t="s">
        <v>439</v>
      </c>
      <c r="C231" t="s">
        <v>441</v>
      </c>
      <c r="D231" t="s">
        <v>47</v>
      </c>
      <c r="E231" t="s">
        <v>28</v>
      </c>
      <c r="F231" t="s">
        <v>29</v>
      </c>
      <c r="G231" t="s">
        <v>33</v>
      </c>
    </row>
    <row r="232" spans="1:7" x14ac:dyDescent="0.2">
      <c r="A232" t="s">
        <v>628</v>
      </c>
      <c r="B232" t="s">
        <v>574</v>
      </c>
      <c r="C232" t="s">
        <v>576</v>
      </c>
      <c r="D232" t="s">
        <v>47</v>
      </c>
      <c r="E232" t="s">
        <v>28</v>
      </c>
      <c r="F232" t="s">
        <v>29</v>
      </c>
      <c r="G232" t="s">
        <v>33</v>
      </c>
    </row>
    <row r="233" spans="1:7" x14ac:dyDescent="0.2">
      <c r="A233" t="s">
        <v>643</v>
      </c>
      <c r="B233" t="s">
        <v>589</v>
      </c>
      <c r="C233" t="s">
        <v>591</v>
      </c>
      <c r="D233" t="s">
        <v>292</v>
      </c>
      <c r="E233" t="s">
        <v>28</v>
      </c>
      <c r="F233" t="s">
        <v>29</v>
      </c>
      <c r="G233" t="s">
        <v>33</v>
      </c>
    </row>
    <row r="234" spans="1:7" x14ac:dyDescent="0.2">
      <c r="A234" t="s">
        <v>391</v>
      </c>
      <c r="B234" t="s">
        <v>335</v>
      </c>
      <c r="C234" t="s">
        <v>337</v>
      </c>
      <c r="D234" t="s">
        <v>47</v>
      </c>
      <c r="E234" t="s">
        <v>28</v>
      </c>
      <c r="F234" t="s">
        <v>29</v>
      </c>
      <c r="G234" t="s">
        <v>33</v>
      </c>
    </row>
    <row r="235" spans="1:7" x14ac:dyDescent="0.2">
      <c r="A235" t="s">
        <v>286</v>
      </c>
      <c r="B235" t="s">
        <v>229</v>
      </c>
      <c r="C235" t="s">
        <v>231</v>
      </c>
      <c r="D235" t="s">
        <v>47</v>
      </c>
      <c r="E235" t="s">
        <v>28</v>
      </c>
      <c r="F235" t="s">
        <v>29</v>
      </c>
      <c r="G235" t="s">
        <v>33</v>
      </c>
    </row>
    <row r="236" spans="1:7" x14ac:dyDescent="0.2">
      <c r="A236" t="s">
        <v>861</v>
      </c>
      <c r="B236" t="s">
        <v>807</v>
      </c>
      <c r="C236" t="s">
        <v>809</v>
      </c>
      <c r="D236" t="s">
        <v>30</v>
      </c>
      <c r="E236" t="s">
        <v>28</v>
      </c>
      <c r="F236" t="s">
        <v>29</v>
      </c>
      <c r="G236" t="s">
        <v>33</v>
      </c>
    </row>
    <row r="237" spans="1:7" x14ac:dyDescent="0.2">
      <c r="A237" t="s">
        <v>349</v>
      </c>
      <c r="B237" t="s">
        <v>293</v>
      </c>
      <c r="C237" t="s">
        <v>295</v>
      </c>
      <c r="D237" t="s">
        <v>47</v>
      </c>
      <c r="E237" t="s">
        <v>28</v>
      </c>
      <c r="F237" t="s">
        <v>29</v>
      </c>
      <c r="G237" t="s">
        <v>33</v>
      </c>
    </row>
    <row r="238" spans="1:7" x14ac:dyDescent="0.2">
      <c r="A238" t="s">
        <v>902</v>
      </c>
      <c r="B238" t="s">
        <v>847</v>
      </c>
      <c r="C238" t="s">
        <v>849</v>
      </c>
      <c r="D238" t="s">
        <v>30</v>
      </c>
      <c r="E238" t="s">
        <v>28</v>
      </c>
      <c r="F238" t="s">
        <v>29</v>
      </c>
      <c r="G238" t="s">
        <v>33</v>
      </c>
    </row>
    <row r="239" spans="1:7" x14ac:dyDescent="0.2">
      <c r="A239" t="s">
        <v>1000</v>
      </c>
      <c r="B239" t="s">
        <v>943</v>
      </c>
      <c r="C239" t="s">
        <v>945</v>
      </c>
      <c r="D239" t="s">
        <v>47</v>
      </c>
      <c r="E239" t="s">
        <v>28</v>
      </c>
      <c r="F239" t="s">
        <v>29</v>
      </c>
      <c r="G239" t="s">
        <v>33</v>
      </c>
    </row>
    <row r="240" spans="1:7" x14ac:dyDescent="0.2">
      <c r="A240" t="s">
        <v>411</v>
      </c>
      <c r="B240" t="s">
        <v>355</v>
      </c>
      <c r="C240" t="s">
        <v>357</v>
      </c>
      <c r="D240" t="s">
        <v>417</v>
      </c>
      <c r="E240" t="s">
        <v>28</v>
      </c>
      <c r="F240" t="s">
        <v>29</v>
      </c>
      <c r="G240" t="s">
        <v>33</v>
      </c>
    </row>
    <row r="241" spans="1:7" x14ac:dyDescent="0.2">
      <c r="A241" t="s">
        <v>735</v>
      </c>
      <c r="B241" t="s">
        <v>680</v>
      </c>
      <c r="C241" t="s">
        <v>682</v>
      </c>
      <c r="D241" t="s">
        <v>124</v>
      </c>
      <c r="E241" t="s">
        <v>28</v>
      </c>
      <c r="F241" t="s">
        <v>29</v>
      </c>
      <c r="G241" t="s">
        <v>33</v>
      </c>
    </row>
    <row r="242" spans="1:7" x14ac:dyDescent="0.2">
      <c r="A242" t="s">
        <v>689</v>
      </c>
      <c r="B242" t="s">
        <v>634</v>
      </c>
      <c r="C242" t="s">
        <v>636</v>
      </c>
      <c r="D242" t="s">
        <v>47</v>
      </c>
      <c r="E242" t="s">
        <v>28</v>
      </c>
      <c r="F242" t="s">
        <v>29</v>
      </c>
      <c r="G242" t="s">
        <v>33</v>
      </c>
    </row>
    <row r="243" spans="1:7" x14ac:dyDescent="0.2">
      <c r="A243" t="s">
        <v>957</v>
      </c>
      <c r="B243" t="s">
        <v>903</v>
      </c>
      <c r="C243" t="s">
        <v>905</v>
      </c>
      <c r="D243" t="s">
        <v>30</v>
      </c>
      <c r="E243" t="s">
        <v>28</v>
      </c>
      <c r="F243" t="s">
        <v>29</v>
      </c>
      <c r="G243" t="s">
        <v>33</v>
      </c>
    </row>
    <row r="244" spans="1:7" x14ac:dyDescent="0.2">
      <c r="A244" t="s">
        <v>750</v>
      </c>
      <c r="B244" t="s">
        <v>695</v>
      </c>
      <c r="C244" t="s">
        <v>697</v>
      </c>
      <c r="D244" t="s">
        <v>47</v>
      </c>
      <c r="E244" t="s">
        <v>28</v>
      </c>
      <c r="F244" t="s">
        <v>29</v>
      </c>
      <c r="G244" t="s">
        <v>33</v>
      </c>
    </row>
    <row r="245" spans="1:7" x14ac:dyDescent="0.2">
      <c r="A245" t="s">
        <v>1636</v>
      </c>
      <c r="B245" t="s">
        <v>1377</v>
      </c>
      <c r="C245" t="s">
        <v>1379</v>
      </c>
      <c r="D245" t="s">
        <v>47</v>
      </c>
      <c r="E245" t="s">
        <v>28</v>
      </c>
      <c r="F245" t="s">
        <v>29</v>
      </c>
      <c r="G245" t="s">
        <v>33</v>
      </c>
    </row>
    <row r="246" spans="1:7" x14ac:dyDescent="0.2">
      <c r="A246" t="s">
        <v>1091</v>
      </c>
      <c r="B246" t="s">
        <v>1036</v>
      </c>
      <c r="C246" t="s">
        <v>1038</v>
      </c>
      <c r="D246" t="s">
        <v>30</v>
      </c>
      <c r="E246" t="s">
        <v>28</v>
      </c>
      <c r="F246" t="s">
        <v>29</v>
      </c>
      <c r="G246" t="s">
        <v>33</v>
      </c>
    </row>
    <row r="247" spans="1:7" x14ac:dyDescent="0.2">
      <c r="A247" t="s">
        <v>344</v>
      </c>
      <c r="B247" t="s">
        <v>287</v>
      </c>
      <c r="C247" t="s">
        <v>289</v>
      </c>
      <c r="D247" t="s">
        <v>161</v>
      </c>
      <c r="E247" t="s">
        <v>28</v>
      </c>
      <c r="F247" t="s">
        <v>29</v>
      </c>
      <c r="G247" t="s">
        <v>33</v>
      </c>
    </row>
    <row r="248" spans="1:7" x14ac:dyDescent="0.2">
      <c r="A248" t="s">
        <v>423</v>
      </c>
      <c r="B248" t="s">
        <v>365</v>
      </c>
      <c r="C248" t="s">
        <v>367</v>
      </c>
      <c r="D248" t="s">
        <v>47</v>
      </c>
      <c r="E248" t="s">
        <v>28</v>
      </c>
      <c r="F248" t="s">
        <v>29</v>
      </c>
      <c r="G248" t="s">
        <v>33</v>
      </c>
    </row>
    <row r="249" spans="1:7" x14ac:dyDescent="0.2">
      <c r="A249" t="s">
        <v>359</v>
      </c>
      <c r="B249" t="s">
        <v>305</v>
      </c>
      <c r="C249" t="s">
        <v>307</v>
      </c>
      <c r="D249" t="s">
        <v>47</v>
      </c>
      <c r="E249" t="s">
        <v>28</v>
      </c>
      <c r="F249" t="s">
        <v>29</v>
      </c>
      <c r="G249" t="s">
        <v>33</v>
      </c>
    </row>
    <row r="250" spans="1:7" x14ac:dyDescent="0.2">
      <c r="A250" t="s">
        <v>891</v>
      </c>
      <c r="B250" t="s">
        <v>837</v>
      </c>
      <c r="C250" t="s">
        <v>839</v>
      </c>
      <c r="D250" t="s">
        <v>892</v>
      </c>
      <c r="E250" t="s">
        <v>28</v>
      </c>
      <c r="F250" t="s">
        <v>29</v>
      </c>
      <c r="G250" t="s">
        <v>33</v>
      </c>
    </row>
    <row r="251" spans="1:7" x14ac:dyDescent="0.2">
      <c r="A251" t="s">
        <v>995</v>
      </c>
      <c r="B251" t="s">
        <v>938</v>
      </c>
      <c r="C251" t="s">
        <v>940</v>
      </c>
      <c r="D251" t="s">
        <v>47</v>
      </c>
      <c r="E251" t="s">
        <v>28</v>
      </c>
      <c r="F251" t="s">
        <v>29</v>
      </c>
      <c r="G251" t="s">
        <v>33</v>
      </c>
    </row>
    <row r="252" spans="1:7" x14ac:dyDescent="0.2">
      <c r="A252" t="s">
        <v>977</v>
      </c>
      <c r="B252" t="s">
        <v>923</v>
      </c>
      <c r="C252" t="s">
        <v>925</v>
      </c>
      <c r="D252" t="s">
        <v>47</v>
      </c>
      <c r="E252" t="s">
        <v>28</v>
      </c>
      <c r="F252" t="s">
        <v>29</v>
      </c>
      <c r="G252" t="s">
        <v>33</v>
      </c>
    </row>
    <row r="253" spans="1:7" x14ac:dyDescent="0.2">
      <c r="A253" t="s">
        <v>755</v>
      </c>
      <c r="B253" t="s">
        <v>700</v>
      </c>
      <c r="C253" t="s">
        <v>702</v>
      </c>
      <c r="D253" t="s">
        <v>47</v>
      </c>
      <c r="E253" t="s">
        <v>28</v>
      </c>
      <c r="F253" t="s">
        <v>29</v>
      </c>
      <c r="G253" t="s">
        <v>33</v>
      </c>
    </row>
    <row r="254" spans="1:7" x14ac:dyDescent="0.2">
      <c r="A254" t="s">
        <v>1353</v>
      </c>
      <c r="B254" t="s">
        <v>1218</v>
      </c>
      <c r="C254" t="s">
        <v>1220</v>
      </c>
      <c r="D254" t="s">
        <v>30</v>
      </c>
      <c r="E254" t="s">
        <v>28</v>
      </c>
      <c r="F254" t="s">
        <v>29</v>
      </c>
      <c r="G254" t="s">
        <v>33</v>
      </c>
    </row>
    <row r="255" spans="1:7" x14ac:dyDescent="0.2">
      <c r="A255" t="s">
        <v>684</v>
      </c>
      <c r="B255" t="s">
        <v>629</v>
      </c>
      <c r="C255" t="s">
        <v>631</v>
      </c>
      <c r="D255" t="s">
        <v>47</v>
      </c>
      <c r="E255" t="s">
        <v>28</v>
      </c>
      <c r="F255" t="s">
        <v>29</v>
      </c>
      <c r="G255" t="s">
        <v>33</v>
      </c>
    </row>
    <row r="256" spans="1:7" x14ac:dyDescent="0.2">
      <c r="A256" t="s">
        <v>831</v>
      </c>
      <c r="B256" t="s">
        <v>777</v>
      </c>
      <c r="C256" t="s">
        <v>779</v>
      </c>
      <c r="D256" t="s">
        <v>47</v>
      </c>
      <c r="E256" t="s">
        <v>28</v>
      </c>
      <c r="F256" t="s">
        <v>29</v>
      </c>
      <c r="G256" t="s">
        <v>33</v>
      </c>
    </row>
    <row r="257" spans="1:7" x14ac:dyDescent="0.2">
      <c r="A257" t="s">
        <v>1142</v>
      </c>
      <c r="B257" t="s">
        <v>1087</v>
      </c>
      <c r="C257" t="s">
        <v>1089</v>
      </c>
      <c r="D257" t="s">
        <v>30</v>
      </c>
      <c r="E257" t="s">
        <v>28</v>
      </c>
      <c r="F257" t="s">
        <v>29</v>
      </c>
      <c r="G257" t="s">
        <v>33</v>
      </c>
    </row>
    <row r="258" spans="1:7" x14ac:dyDescent="0.2">
      <c r="A258" t="s">
        <v>897</v>
      </c>
      <c r="B258" t="s">
        <v>842</v>
      </c>
      <c r="C258" t="s">
        <v>844</v>
      </c>
      <c r="D258" t="s">
        <v>47</v>
      </c>
      <c r="E258" t="s">
        <v>28</v>
      </c>
      <c r="F258" t="s">
        <v>29</v>
      </c>
      <c r="G258" t="s">
        <v>33</v>
      </c>
    </row>
    <row r="259" spans="1:7" x14ac:dyDescent="0.2">
      <c r="A259" t="s">
        <v>1020</v>
      </c>
      <c r="B259" t="s">
        <v>963</v>
      </c>
      <c r="C259" t="s">
        <v>965</v>
      </c>
      <c r="D259" t="s">
        <v>417</v>
      </c>
      <c r="E259" t="s">
        <v>28</v>
      </c>
      <c r="F259" t="s">
        <v>29</v>
      </c>
      <c r="G259" t="s">
        <v>33</v>
      </c>
    </row>
    <row r="260" spans="1:7" x14ac:dyDescent="0.2">
      <c r="A260" t="s">
        <v>567</v>
      </c>
      <c r="B260" t="s">
        <v>513</v>
      </c>
      <c r="C260" t="s">
        <v>515</v>
      </c>
      <c r="D260" t="s">
        <v>568</v>
      </c>
      <c r="E260" t="s">
        <v>28</v>
      </c>
      <c r="F260" t="s">
        <v>29</v>
      </c>
      <c r="G260" t="s">
        <v>33</v>
      </c>
    </row>
    <row r="261" spans="1:7" x14ac:dyDescent="0.2">
      <c r="A261" t="s">
        <v>588</v>
      </c>
      <c r="B261" t="s">
        <v>533</v>
      </c>
      <c r="C261" t="s">
        <v>535</v>
      </c>
      <c r="D261" t="s">
        <v>47</v>
      </c>
      <c r="E261" t="s">
        <v>28</v>
      </c>
      <c r="F261" t="s">
        <v>29</v>
      </c>
      <c r="G261" t="s">
        <v>33</v>
      </c>
    </row>
    <row r="262" spans="1:7" x14ac:dyDescent="0.2">
      <c r="A262" t="s">
        <v>658</v>
      </c>
      <c r="B262" t="s">
        <v>604</v>
      </c>
      <c r="C262" t="s">
        <v>606</v>
      </c>
      <c r="D262" t="s">
        <v>30</v>
      </c>
      <c r="E262" t="s">
        <v>28</v>
      </c>
      <c r="F262" t="s">
        <v>29</v>
      </c>
      <c r="G262" t="s">
        <v>33</v>
      </c>
    </row>
    <row r="263" spans="1:7" x14ac:dyDescent="0.2">
      <c r="A263" t="s">
        <v>406</v>
      </c>
      <c r="B263" t="s">
        <v>350</v>
      </c>
      <c r="C263" t="s">
        <v>352</v>
      </c>
      <c r="D263" t="s">
        <v>161</v>
      </c>
      <c r="E263" t="s">
        <v>28</v>
      </c>
      <c r="F263" t="s">
        <v>29</v>
      </c>
      <c r="G263" t="s">
        <v>33</v>
      </c>
    </row>
    <row r="264" spans="1:7" x14ac:dyDescent="0.2">
      <c r="A264" t="s">
        <v>1173</v>
      </c>
      <c r="B264" t="s">
        <v>1118</v>
      </c>
      <c r="C264" t="s">
        <v>1120</v>
      </c>
      <c r="D264" t="s">
        <v>1174</v>
      </c>
      <c r="E264" t="s">
        <v>28</v>
      </c>
      <c r="F264" t="s">
        <v>29</v>
      </c>
      <c r="G264" t="s">
        <v>33</v>
      </c>
    </row>
    <row r="265" spans="1:7" x14ac:dyDescent="0.2">
      <c r="A265" t="s">
        <v>673</v>
      </c>
      <c r="B265" t="s">
        <v>619</v>
      </c>
      <c r="C265" t="s">
        <v>621</v>
      </c>
      <c r="D265" t="s">
        <v>674</v>
      </c>
      <c r="E265" t="s">
        <v>28</v>
      </c>
      <c r="F265" t="s">
        <v>29</v>
      </c>
      <c r="G265" t="s">
        <v>33</v>
      </c>
    </row>
    <row r="266" spans="1:7" x14ac:dyDescent="0.2">
      <c r="A266" t="s">
        <v>1178</v>
      </c>
      <c r="B266" t="s">
        <v>1123</v>
      </c>
      <c r="C266" t="s">
        <v>1125</v>
      </c>
      <c r="D266" t="s">
        <v>47</v>
      </c>
      <c r="E266" t="s">
        <v>28</v>
      </c>
      <c r="F266" t="s">
        <v>29</v>
      </c>
      <c r="G266" t="s">
        <v>33</v>
      </c>
    </row>
    <row r="267" spans="1:7" x14ac:dyDescent="0.2">
      <c r="A267" t="s">
        <v>1111</v>
      </c>
      <c r="B267" t="s">
        <v>1056</v>
      </c>
      <c r="C267" t="s">
        <v>1058</v>
      </c>
      <c r="D267" t="s">
        <v>1112</v>
      </c>
      <c r="E267" t="s">
        <v>28</v>
      </c>
      <c r="F267" t="s">
        <v>29</v>
      </c>
      <c r="G267" t="s">
        <v>33</v>
      </c>
    </row>
    <row r="268" spans="1:7" x14ac:dyDescent="0.2">
      <c r="A268" t="s">
        <v>1015</v>
      </c>
      <c r="B268" t="s">
        <v>958</v>
      </c>
      <c r="C268" t="s">
        <v>960</v>
      </c>
      <c r="D268" t="s">
        <v>47</v>
      </c>
      <c r="E268" t="s">
        <v>28</v>
      </c>
      <c r="F268" t="s">
        <v>29</v>
      </c>
      <c r="G268" t="s">
        <v>33</v>
      </c>
    </row>
    <row r="269" spans="1:7" x14ac:dyDescent="0.2">
      <c r="A269" t="s">
        <v>522</v>
      </c>
      <c r="B269" t="s">
        <v>468</v>
      </c>
      <c r="C269" t="s">
        <v>470</v>
      </c>
      <c r="D269" t="s">
        <v>47</v>
      </c>
      <c r="E269" t="s">
        <v>28</v>
      </c>
      <c r="F269" t="s">
        <v>29</v>
      </c>
      <c r="G269" t="s">
        <v>33</v>
      </c>
    </row>
    <row r="270" spans="1:7" x14ac:dyDescent="0.2">
      <c r="A270" t="s">
        <v>771</v>
      </c>
      <c r="B270" t="s">
        <v>714</v>
      </c>
      <c r="C270" t="s">
        <v>716</v>
      </c>
      <c r="D270" t="s">
        <v>292</v>
      </c>
      <c r="E270" t="s">
        <v>28</v>
      </c>
      <c r="F270" t="s">
        <v>29</v>
      </c>
      <c r="G270" t="s">
        <v>33</v>
      </c>
    </row>
    <row r="271" spans="1:7" x14ac:dyDescent="0.2">
      <c r="A271" t="s">
        <v>223</v>
      </c>
      <c r="B271" t="s">
        <v>154</v>
      </c>
      <c r="C271" t="s">
        <v>156</v>
      </c>
      <c r="D271" t="s">
        <v>47</v>
      </c>
      <c r="E271" t="s">
        <v>28</v>
      </c>
      <c r="F271" t="s">
        <v>29</v>
      </c>
      <c r="G271" t="s">
        <v>33</v>
      </c>
    </row>
    <row r="272" spans="1:7" x14ac:dyDescent="0.2">
      <c r="A272" t="s">
        <v>745</v>
      </c>
      <c r="B272" t="s">
        <v>690</v>
      </c>
      <c r="C272" t="s">
        <v>692</v>
      </c>
      <c r="D272" t="s">
        <v>47</v>
      </c>
      <c r="E272" t="s">
        <v>81</v>
      </c>
      <c r="F272" t="s">
        <v>234</v>
      </c>
      <c r="G272" t="s">
        <v>33</v>
      </c>
    </row>
    <row r="273" spans="1:7" x14ac:dyDescent="0.2">
      <c r="A273" t="s">
        <v>385</v>
      </c>
      <c r="B273" t="s">
        <v>330</v>
      </c>
      <c r="C273" t="s">
        <v>332</v>
      </c>
      <c r="D273" t="s">
        <v>386</v>
      </c>
      <c r="E273" t="s">
        <v>28</v>
      </c>
      <c r="F273" t="s">
        <v>29</v>
      </c>
      <c r="G273" t="s">
        <v>33</v>
      </c>
    </row>
    <row r="274" spans="1:7" x14ac:dyDescent="0.2">
      <c r="A274" t="s">
        <v>1207</v>
      </c>
      <c r="B274" t="s">
        <v>1153</v>
      </c>
      <c r="C274" t="s">
        <v>1155</v>
      </c>
      <c r="D274" t="s">
        <v>47</v>
      </c>
      <c r="E274" t="s">
        <v>28</v>
      </c>
      <c r="F274" t="s">
        <v>29</v>
      </c>
      <c r="G274" t="s">
        <v>33</v>
      </c>
    </row>
    <row r="275" spans="1:7" x14ac:dyDescent="0.2">
      <c r="A275" t="s">
        <v>146</v>
      </c>
      <c r="B275" t="s">
        <v>94</v>
      </c>
      <c r="C275" t="s">
        <v>96</v>
      </c>
      <c r="D275" t="s">
        <v>47</v>
      </c>
      <c r="E275" t="s">
        <v>28</v>
      </c>
      <c r="F275" t="s">
        <v>29</v>
      </c>
      <c r="G275" t="s">
        <v>33</v>
      </c>
    </row>
    <row r="276" spans="1:7" x14ac:dyDescent="0.2">
      <c r="A276" t="s">
        <v>200</v>
      </c>
      <c r="B276" t="s">
        <v>132</v>
      </c>
      <c r="C276" t="s">
        <v>134</v>
      </c>
      <c r="D276" t="s">
        <v>47</v>
      </c>
      <c r="E276" t="s">
        <v>28</v>
      </c>
      <c r="F276" t="s">
        <v>29</v>
      </c>
      <c r="G276" t="s">
        <v>33</v>
      </c>
    </row>
    <row r="277" spans="1:7" x14ac:dyDescent="0.2">
      <c r="A277" t="s">
        <v>1574</v>
      </c>
      <c r="B277" t="s">
        <v>1331</v>
      </c>
      <c r="C277" t="s">
        <v>1333</v>
      </c>
      <c r="D277" t="s">
        <v>47</v>
      </c>
      <c r="E277" t="s">
        <v>28</v>
      </c>
      <c r="F277" t="s">
        <v>29</v>
      </c>
      <c r="G277" t="s">
        <v>33</v>
      </c>
    </row>
    <row r="278" spans="1:7" x14ac:dyDescent="0.2">
      <c r="A278" t="s">
        <v>1576</v>
      </c>
      <c r="B278" t="s">
        <v>1336</v>
      </c>
      <c r="C278" t="s">
        <v>1338</v>
      </c>
      <c r="D278" t="s">
        <v>47</v>
      </c>
      <c r="E278" t="s">
        <v>28</v>
      </c>
      <c r="F278" t="s">
        <v>29</v>
      </c>
      <c r="G278" t="s">
        <v>33</v>
      </c>
    </row>
    <row r="279" spans="1:7" x14ac:dyDescent="0.2">
      <c r="A279" t="s">
        <v>1863</v>
      </c>
      <c r="B279" t="s">
        <v>1554</v>
      </c>
      <c r="C279" t="s">
        <v>1556</v>
      </c>
      <c r="D279" t="s">
        <v>47</v>
      </c>
      <c r="E279" t="s">
        <v>28</v>
      </c>
      <c r="F279" t="s">
        <v>29</v>
      </c>
      <c r="G279" t="s">
        <v>33</v>
      </c>
    </row>
    <row r="280" spans="1:7" x14ac:dyDescent="0.2">
      <c r="A280" t="s">
        <v>1803</v>
      </c>
      <c r="B280" t="s">
        <v>1508</v>
      </c>
      <c r="C280" t="s">
        <v>1510</v>
      </c>
      <c r="D280" t="s">
        <v>47</v>
      </c>
      <c r="E280" t="s">
        <v>28</v>
      </c>
      <c r="F280" t="s">
        <v>29</v>
      </c>
      <c r="G280" t="s">
        <v>33</v>
      </c>
    </row>
    <row r="281" spans="1:7" x14ac:dyDescent="0.2">
      <c r="A281" t="s">
        <v>1658</v>
      </c>
      <c r="B281" t="s">
        <v>1112</v>
      </c>
      <c r="C281" t="s">
        <v>1395</v>
      </c>
      <c r="D281" t="s">
        <v>1112</v>
      </c>
      <c r="E281" t="s">
        <v>28</v>
      </c>
      <c r="F281" t="s">
        <v>29</v>
      </c>
      <c r="G281" t="s">
        <v>33</v>
      </c>
    </row>
    <row r="282" spans="1:7" x14ac:dyDescent="0.2">
      <c r="A282" t="s">
        <v>1715</v>
      </c>
      <c r="B282" t="s">
        <v>1440</v>
      </c>
      <c r="C282" t="s">
        <v>1442</v>
      </c>
      <c r="D282" t="s">
        <v>386</v>
      </c>
      <c r="E282" t="s">
        <v>28</v>
      </c>
      <c r="F282" t="s">
        <v>29</v>
      </c>
      <c r="G282" t="s">
        <v>33</v>
      </c>
    </row>
    <row r="283" spans="1:7" x14ac:dyDescent="0.2">
      <c r="A283" t="s">
        <v>141</v>
      </c>
      <c r="B283" t="s">
        <v>90</v>
      </c>
      <c r="C283" t="s">
        <v>92</v>
      </c>
      <c r="D283" t="s">
        <v>30</v>
      </c>
      <c r="E283" t="s">
        <v>28</v>
      </c>
      <c r="F283" t="s">
        <v>29</v>
      </c>
      <c r="G283" t="s">
        <v>33</v>
      </c>
    </row>
    <row r="284" spans="1:7" x14ac:dyDescent="0.2">
      <c r="A284" t="s">
        <v>135</v>
      </c>
      <c r="B284" t="s">
        <v>84</v>
      </c>
      <c r="C284" t="s">
        <v>86</v>
      </c>
      <c r="D284" t="s">
        <v>30</v>
      </c>
      <c r="E284" t="s">
        <v>28</v>
      </c>
      <c r="F284" t="s">
        <v>29</v>
      </c>
      <c r="G284" t="s">
        <v>33</v>
      </c>
    </row>
    <row r="285" spans="1:7" x14ac:dyDescent="0.2">
      <c r="A285" t="s">
        <v>1385</v>
      </c>
      <c r="B285" t="s">
        <v>1234</v>
      </c>
      <c r="C285" t="s">
        <v>1236</v>
      </c>
      <c r="D285" t="s">
        <v>30</v>
      </c>
      <c r="E285" t="s">
        <v>28</v>
      </c>
      <c r="F285" t="s">
        <v>29</v>
      </c>
      <c r="G285" t="s">
        <v>33</v>
      </c>
    </row>
    <row r="286" spans="1:7" x14ac:dyDescent="0.2">
      <c r="A286" t="s">
        <v>151</v>
      </c>
      <c r="B286" t="s">
        <v>100</v>
      </c>
      <c r="C286" t="s">
        <v>102</v>
      </c>
      <c r="D286" t="s">
        <v>152</v>
      </c>
      <c r="E286" t="s">
        <v>28</v>
      </c>
      <c r="F286" t="s">
        <v>29</v>
      </c>
      <c r="G286" t="s">
        <v>33</v>
      </c>
    </row>
    <row r="287" spans="1:7" x14ac:dyDescent="0.2">
      <c r="A287" t="s">
        <v>1572</v>
      </c>
      <c r="B287" t="s">
        <v>1326</v>
      </c>
      <c r="C287" t="s">
        <v>1328</v>
      </c>
      <c r="D287" t="s">
        <v>47</v>
      </c>
      <c r="E287" t="s">
        <v>28</v>
      </c>
      <c r="F287" t="s">
        <v>29</v>
      </c>
      <c r="G287" t="s">
        <v>33</v>
      </c>
    </row>
    <row r="288" spans="1:7" x14ac:dyDescent="0.2">
      <c r="A288" t="s">
        <v>1865</v>
      </c>
      <c r="B288" t="s">
        <v>1560</v>
      </c>
      <c r="C288" t="s">
        <v>1562</v>
      </c>
      <c r="D288" t="s">
        <v>30</v>
      </c>
      <c r="E288" t="s">
        <v>28</v>
      </c>
      <c r="F288" t="s">
        <v>29</v>
      </c>
      <c r="G288" t="s">
        <v>33</v>
      </c>
    </row>
    <row r="289" spans="1:7" x14ac:dyDescent="0.2">
      <c r="A289" t="s">
        <v>1831</v>
      </c>
      <c r="B289" t="s">
        <v>195</v>
      </c>
      <c r="C289" t="s">
        <v>1534</v>
      </c>
      <c r="D289" t="s">
        <v>195</v>
      </c>
      <c r="E289" t="s">
        <v>28</v>
      </c>
      <c r="F289" t="s">
        <v>234</v>
      </c>
      <c r="G289" t="s">
        <v>730</v>
      </c>
    </row>
    <row r="290" spans="1:7" x14ac:dyDescent="0.2">
      <c r="A290" t="s">
        <v>1585</v>
      </c>
      <c r="B290" t="s">
        <v>1345</v>
      </c>
      <c r="C290" t="s">
        <v>1347</v>
      </c>
      <c r="D290" t="s">
        <v>207</v>
      </c>
      <c r="E290" t="s">
        <v>28</v>
      </c>
      <c r="F290" t="s">
        <v>234</v>
      </c>
      <c r="G290" t="s">
        <v>730</v>
      </c>
    </row>
    <row r="291" spans="1:7" x14ac:dyDescent="0.2">
      <c r="A291" t="s">
        <v>1401</v>
      </c>
      <c r="B291" t="s">
        <v>1245</v>
      </c>
      <c r="C291" t="s">
        <v>1247</v>
      </c>
      <c r="D291" t="s">
        <v>1245</v>
      </c>
      <c r="E291" t="s">
        <v>28</v>
      </c>
      <c r="F291" t="s">
        <v>234</v>
      </c>
      <c r="G291" t="s">
        <v>730</v>
      </c>
    </row>
    <row r="292" spans="1:7" x14ac:dyDescent="0.2">
      <c r="A292" t="s">
        <v>1494</v>
      </c>
      <c r="B292" t="s">
        <v>1288</v>
      </c>
      <c r="C292" t="s">
        <v>1290</v>
      </c>
      <c r="D292" t="s">
        <v>1288</v>
      </c>
      <c r="E292" t="s">
        <v>28</v>
      </c>
      <c r="F292" t="s">
        <v>234</v>
      </c>
      <c r="G292" t="s">
        <v>730</v>
      </c>
    </row>
    <row r="293" spans="1:7" x14ac:dyDescent="0.2">
      <c r="A293" t="s">
        <v>1065</v>
      </c>
      <c r="B293" t="s">
        <v>1011</v>
      </c>
      <c r="C293" t="s">
        <v>1013</v>
      </c>
      <c r="D293" t="s">
        <v>1066</v>
      </c>
      <c r="E293" t="s">
        <v>28</v>
      </c>
      <c r="F293" t="s">
        <v>234</v>
      </c>
      <c r="G293" t="s">
        <v>730</v>
      </c>
    </row>
    <row r="294" spans="1:7" x14ac:dyDescent="0.2">
      <c r="A294" t="s">
        <v>728</v>
      </c>
      <c r="B294" t="s">
        <v>675</v>
      </c>
      <c r="C294" t="s">
        <v>677</v>
      </c>
      <c r="D294" t="s">
        <v>195</v>
      </c>
      <c r="E294" t="s">
        <v>28</v>
      </c>
      <c r="F294" t="s">
        <v>234</v>
      </c>
      <c r="G294" t="s">
        <v>730</v>
      </c>
    </row>
    <row r="295" spans="1:7" x14ac:dyDescent="0.2">
      <c r="A295" t="s">
        <v>1578</v>
      </c>
      <c r="B295" t="s">
        <v>207</v>
      </c>
      <c r="C295" t="s">
        <v>1341</v>
      </c>
      <c r="D295" t="s">
        <v>207</v>
      </c>
      <c r="E295" t="s">
        <v>28</v>
      </c>
      <c r="F295" t="s">
        <v>234</v>
      </c>
      <c r="G295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Evalua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Rodriguez Rivas</cp:lastModifiedBy>
  <cp:revision>0</cp:revision>
  <dcterms:modified xsi:type="dcterms:W3CDTF">2026-09-03T21:50:17Z</dcterms:modified>
</cp:coreProperties>
</file>